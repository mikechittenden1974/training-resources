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training-resources\"/>
    </mc:Choice>
  </mc:AlternateContent>
  <xr:revisionPtr revIDLastSave="0" documentId="8_{A543DF63-98E8-4EFC-97EF-1EEDA7F8FF88}" xr6:coauthVersionLast="47" xr6:coauthVersionMax="47" xr10:uidLastSave="{00000000-0000-0000-0000-000000000000}"/>
  <bookViews>
    <workbookView xWindow="28680" yWindow="-120" windowWidth="29040" windowHeight="17520" tabRatio="702" xr2:uid="{00000000-000D-0000-FFFF-FFFF00000000}"/>
  </bookViews>
  <sheets>
    <sheet name="Start Here" sheetId="1" r:id="rId1"/>
    <sheet name="Warm-up" sheetId="2" r:id="rId2"/>
    <sheet name="Club Data" sheetId="3" r:id="rId3"/>
    <sheet name="Task 1 - IF (flag a row)" sheetId="4" r:id="rId4"/>
    <sheet name="Task 2 - COUNTIF" sheetId="5" r:id="rId5"/>
    <sheet name="Task 3 - SUMIF &amp; AVERAGEIF" sheetId="6" r:id="rId6"/>
    <sheet name="Support" sheetId="7" r:id="rId7"/>
    <sheet name="Stretch" sheetId="8" r:id="rId8"/>
    <sheet name="Confidence &amp; Next Steps" sheetId="9" r:id="rId9"/>
  </sheets>
  <definedNames>
    <definedName name="_xlnm._FilterDatabase" localSheetId="2" hidden="1">'Club Data'!$A$4:$I$27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8" i="8" l="1"/>
  <c r="G7" i="8"/>
  <c r="G10" i="6"/>
  <c r="G9" i="6"/>
  <c r="G8" i="6"/>
  <c r="G7" i="6"/>
  <c r="G9" i="5"/>
  <c r="G8" i="5"/>
  <c r="G7" i="5"/>
  <c r="G8" i="4"/>
  <c r="G7" i="4"/>
  <c r="G18" i="2"/>
  <c r="G17" i="2"/>
  <c r="G16" i="2"/>
  <c r="G15" i="2"/>
  <c r="G14" i="2"/>
</calcChain>
</file>

<file path=xl/sharedStrings.xml><?xml version="1.0" encoding="utf-8"?>
<sst xmlns="http://schemas.openxmlformats.org/spreadsheetml/2006/main" count="292" uniqueCount="169">
  <si>
    <t>Module 8  -  The IF Family</t>
  </si>
  <si>
    <t>YOUR JOURNEY</t>
  </si>
  <si>
    <t>Add a CONDITION to your formulas  -  Self-paced</t>
  </si>
  <si>
    <t>Often you only want the rows that meet a condition - Card payments, Adult members, amounts over 100. That's the IF family. We start with plain IF (which labels one cell), then COUNTIF, SUMIF and AVERAGEIF (which count, total and average only the rows that pass a test). You work on the same blended Club Data table from Module 5.</t>
  </si>
  <si>
    <t>The big idea: two different kinds of 'IF'</t>
  </si>
  <si>
    <t>IF( ) looks at ONE cell and gives an answer - e.g. =IF(G5&gt;100,"Review","OK") labels a single payment. It works row by row.</t>
  </si>
  <si>
    <t>COUNTIF / SUMIF / AVERAGEIF look at a WHOLE column and answer about the rows that match - e.g. how many Card payments, or the total of Direct Debit payments.</t>
  </si>
  <si>
    <t>Remember: IF labels a row; the ...IF functions summarise a column.</t>
  </si>
  <si>
    <t>What you'll learn</t>
  </si>
  <si>
    <t>•  IF: return one label or another depending on a test.</t>
  </si>
  <si>
    <t>•  COUNTIF: count the rows that meet a condition.</t>
  </si>
  <si>
    <t>•  SUMIF / AVERAGEIF: total or average only the rows that meet a condition.</t>
  </si>
  <si>
    <t>Before you start</t>
  </si>
  <si>
    <t>This is Module 7's functions with a filter built in - you already know the hard part. Try the warm-up first, where the answers are easy to see. A wrong formula costs nothing; fix it and go again. Breathe (in 4, hold 4, out 6).</t>
  </si>
  <si>
    <t>Your confidence baseline  (1 = not yet, 5 = confident)</t>
  </si>
  <si>
    <t>Statement</t>
  </si>
  <si>
    <t>Rating (1-5)</t>
  </si>
  <si>
    <t>I can write an IF to label a cell based on a test</t>
  </si>
  <si>
    <t>I can use COUNTIF to count rows that meet a condition</t>
  </si>
  <si>
    <t>I can use SUMIF and AVERAGEIF with a condition</t>
  </si>
  <si>
    <t>I understand IF (one row) vs COUNTIF (whole column)</t>
  </si>
  <si>
    <t>Warm-up - IF and the ...IF family on a tiny table</t>
  </si>
  <si>
    <t>A category column and a value column</t>
  </si>
  <si>
    <t>This table has a Type in B7:B11 and a Value in C7:C11. Use it to learn each formula before the real data.</t>
  </si>
  <si>
    <t>(Type in B7:B11, Value in C7:C11)</t>
  </si>
  <si>
    <t>Type</t>
  </si>
  <si>
    <t>Value</t>
  </si>
  <si>
    <t>A</t>
  </si>
  <si>
    <t>B</t>
  </si>
  <si>
    <t>What to calculate</t>
  </si>
  <si>
    <t>Type this kind of formula</t>
  </si>
  <si>
    <t>Your result</t>
  </si>
  <si>
    <t>Check</t>
  </si>
  <si>
    <t>🧭 Explore further</t>
  </si>
  <si>
    <t>Label the first value: 'big' if over 15, else 'small'</t>
  </si>
  <si>
    <t>e.g.  =IF(C7&gt;15,"big","small")</t>
  </si>
  <si>
    <t>Explore: change a Type from B to A and predict all three ...IF results BEFORE pressing Enter. Then try a wildcard: =COUNTIF(B7:B11,"*") counts every text entry.</t>
  </si>
  <si>
    <t>Label the third value the same way</t>
  </si>
  <si>
    <t>e.g.  =IF(C9&gt;15,"big","small")</t>
  </si>
  <si>
    <t>Count how many rows are Type A</t>
  </si>
  <si>
    <t>e.g.  =COUNTIF(B7:B11,"A")</t>
  </si>
  <si>
    <t>Total the Values where Type is A</t>
  </si>
  <si>
    <t>e.g.  =SUMIF(B7:B11,"A",C7:C11)</t>
  </si>
  <si>
    <t>Average the Values where Type is A</t>
  </si>
  <si>
    <t>e.g.  =AVERAGEIF(B7:B11,"A",C7:C11)</t>
  </si>
  <si>
    <t>IF points at one cell (C7); COUNTIF/SUMIF/AVERAGEIF point at the whole column (B7:B11) and a condition.</t>
  </si>
  <si>
    <t>Data: Club Data</t>
  </si>
  <si>
    <t>Your blended member table from Module 5  (MembershipType=C, Amount=G, Method=H)</t>
  </si>
  <si>
    <t>MemberID</t>
  </si>
  <si>
    <t>Name</t>
  </si>
  <si>
    <t>MembershipType</t>
  </si>
  <si>
    <t>JoinYear</t>
  </si>
  <si>
    <t>MemberSegment</t>
  </si>
  <si>
    <t>Tenure</t>
  </si>
  <si>
    <t>Amount</t>
  </si>
  <si>
    <t>Method</t>
  </si>
  <si>
    <t>AmountReview</t>
  </si>
  <si>
    <t>Aisha Khan</t>
  </si>
  <si>
    <t>Adult</t>
  </si>
  <si>
    <t>Full</t>
  </si>
  <si>
    <t>Established</t>
  </si>
  <si>
    <t>Direct Debit</t>
  </si>
  <si>
    <t>Standard</t>
  </si>
  <si>
    <t>Tom Reilly</t>
  </si>
  <si>
    <t>Family</t>
  </si>
  <si>
    <t>Household</t>
  </si>
  <si>
    <t>High</t>
  </si>
  <si>
    <t>Grace O'Neil</t>
  </si>
  <si>
    <t>Junior</t>
  </si>
  <si>
    <t>Concession</t>
  </si>
  <si>
    <t>Recent</t>
  </si>
  <si>
    <t>Card</t>
  </si>
  <si>
    <t>Low</t>
  </si>
  <si>
    <t>David Patel</t>
  </si>
  <si>
    <t>Senior</t>
  </si>
  <si>
    <t>Veteran</t>
  </si>
  <si>
    <t>Maria Santos</t>
  </si>
  <si>
    <t>Liam Walsh</t>
  </si>
  <si>
    <t>Cash</t>
  </si>
  <si>
    <t>Chloe Bennett</t>
  </si>
  <si>
    <t>Noah Fischer</t>
  </si>
  <si>
    <t>Priya Sharma</t>
  </si>
  <si>
    <t>James Murray</t>
  </si>
  <si>
    <t>Sofia Rossi</t>
  </si>
  <si>
    <t>Ben Carter</t>
  </si>
  <si>
    <t>Hannah Lee</t>
  </si>
  <si>
    <t>Omar Hassan</t>
  </si>
  <si>
    <t>Ella Thompson</t>
  </si>
  <si>
    <t>Escalate</t>
  </si>
  <si>
    <t>Jack Robinson</t>
  </si>
  <si>
    <t>Mia Nguyen</t>
  </si>
  <si>
    <t>Daniel Clarke</t>
  </si>
  <si>
    <t>Zara Ahmed</t>
  </si>
  <si>
    <t>Lucas Meyer</t>
  </si>
  <si>
    <t>Freya Scott</t>
  </si>
  <si>
    <t>Adam Foster</t>
  </si>
  <si>
    <t>Isla Murphy</t>
  </si>
  <si>
    <t>Task 1 - IF: flag a single row</t>
  </si>
  <si>
    <t>Label a payment 'Review' if it's over 100</t>
  </si>
  <si>
    <t>IF tests one cell and returns one of two answers. Amount is in Club Data column G. Flag a payment 'Review' when over 100, else 'OK'.</t>
  </si>
  <si>
    <t>Flag the payment in 'Club Data'!G19 (over 100?)</t>
  </si>
  <si>
    <t>e.g.  =IF('Club Data'!G19&gt;100,"Review","OK")</t>
  </si>
  <si>
    <t>Explore: put the IF in a spare column on Club Data and double-click the fill handle — every payment flagged at once. That flag column is exactly how auditors work (Module 13).</t>
  </si>
  <si>
    <t>Now flag the payment in 'Club Data'!G5</t>
  </si>
  <si>
    <t>e.g.  =IF('Club Data'!G5&gt;100,"Review","OK")</t>
  </si>
  <si>
    <t>💡  In real life you'd copy this IF down the whole column to flag every payment at once - instantly highlighting the 350 outlier.</t>
  </si>
  <si>
    <t>Task 2 - COUNTIF: count with a condition</t>
  </si>
  <si>
    <t>How many rows match?</t>
  </si>
  <si>
    <t>COUNTIF counts cells that meet ONE condition. Method is in Club Data!H5:H27; MembershipType is in Club Data!C5:C27.</t>
  </si>
  <si>
    <t>How many payments were made by Card</t>
  </si>
  <si>
    <t>e.g.  =COUNTIF('Club Data'!H5:H27,"Card")</t>
  </si>
  <si>
    <t>Explore: wildcards work in conditions — =COUNTIF(H5:H27,"D*") catches Direct Debit. And =COUNTIF(H5:H27,"&lt;&gt;Card") counts everything that ISN'T Card.</t>
  </si>
  <si>
    <t>How many payments were Direct Debit</t>
  </si>
  <si>
    <t>e.g.  =COUNTIF('Club Data'!H5:H27,"Direct Debit")</t>
  </si>
  <si>
    <t>How many members are Adult</t>
  </si>
  <si>
    <t>e.g.  =COUNTIF('Club Data'!C5:C27,"Adult")</t>
  </si>
  <si>
    <t>💡  Text conditions go in quotes ("Card"). For numbers use things like "&gt;100" - more of that in Module 9.</t>
  </si>
  <si>
    <t>Task 3 - SUMIF and AVERAGEIF</t>
  </si>
  <si>
    <t>Total or average only the matching rows</t>
  </si>
  <si>
    <t>Pattern: (range to test, condition, range to add/average). Method is in H5:H27, Amount in G5:G27.</t>
  </si>
  <si>
    <t>Total of all Direct Debit payments</t>
  </si>
  <si>
    <t>e.g.  =SUMIF('Club Data'!H5:H27,"Direct Debit",'Club Data'!G5:G27)</t>
  </si>
  <si>
    <t>Explore: rebuild the Card total with =SUMPRODUCT((H5:H27="Card")*G5:G27) — same answer, different engine. Then try the Card average EXCLUDING the 350: =AVERAGEIFS(G5:G27,H5:H27,"Card",G5:G27,"&lt;100").</t>
  </si>
  <si>
    <t>Total of all Card payments</t>
  </si>
  <si>
    <t>e.g.  =SUMIF('Club Data'!H5:H27,"Card",'Club Data'!G5:G27)</t>
  </si>
  <si>
    <t>Average Direct Debit payment</t>
  </si>
  <si>
    <t>e.g.  =AVERAGEIF('Club Data'!H5:H27,"Direct Debit",'Club Data'!G5:G27)</t>
  </si>
  <si>
    <t>Average Card payment</t>
  </si>
  <si>
    <t>e.g.  =AVERAGEIF('Club Data'!H5:H27,"Card",'Club Data'!G5:G27)</t>
  </si>
  <si>
    <t>Look at the two averages: Direct Debit averages 41.67, but Card averages 64.25 - much higher, because the 350 outlier was a Card payment. A conditional average can still be distorted by one odd value - exactly what you'll AUDIT for later.</t>
  </si>
  <si>
    <t>Support - the IF family</t>
  </si>
  <si>
    <t>Type = first, then the function.</t>
  </si>
  <si>
    <t>IF</t>
  </si>
  <si>
    <t>IF(test, value_if_true, value_if_false). Example: IF(G5&gt;100,"Review","OK"). Text answers in quotes.</t>
  </si>
  <si>
    <t>COUNTIF</t>
  </si>
  <si>
    <t>COUNTIF(range, condition). Example: COUNTIF(H5:H27,"Card").</t>
  </si>
  <si>
    <t>SUMIF</t>
  </si>
  <si>
    <t>SUMIF(test_range, condition, sum_range). Example: SUMIF(H5:H27,"Card",G5:G27).</t>
  </si>
  <si>
    <t>AVERAGEIF</t>
  </si>
  <si>
    <t>AVERAGEIF(test_range, condition, average_range). Same shape as SUMIF but averages.</t>
  </si>
  <si>
    <t>Text vs number conditions</t>
  </si>
  <si>
    <t>Text in quotes: "Card". Number comparisons in quotes too: "&gt;100", "&lt;=50".</t>
  </si>
  <si>
    <t>IF vs the ...IF family</t>
  </si>
  <si>
    <t>IF answers about ONE cell. COUNTIF/SUMIF/AVERAGEIF answer about a WHOLE range that meets a condition.</t>
  </si>
  <si>
    <t>Sheet name with a space</t>
  </si>
  <si>
    <t>Wrap it in apostrophes: 'Club Data'!H5:H27.</t>
  </si>
  <si>
    <t>Stretch - conditions on numbers</t>
  </si>
  <si>
    <t>Use a comparison as the condition</t>
  </si>
  <si>
    <t>COUNTIF and SUMIF can test numbers too. Put the comparison in quotes, like "&gt;100".</t>
  </si>
  <si>
    <t>How many payments are over 100</t>
  </si>
  <si>
    <t>e.g.  =COUNTIF('Club Data'!G5:G27,"&gt;100")</t>
  </si>
  <si>
    <t>Explore: try =COUNTIF(G5:G27,"&gt;"&amp;AVERAGE(G5:G27)) — how many payments beat the average? With an outlier dragging the mean up, surprisingly few do.</t>
  </si>
  <si>
    <t>Total of payments under 30</t>
  </si>
  <si>
    <t>e.g.  =SUMIF('Club Data'!G5:G27,"&lt;30",'Club Data'!G5:G27)</t>
  </si>
  <si>
    <t>Reasoning prompts (write your own - no marking)</t>
  </si>
  <si>
    <t>When would you use IF (per row) rather than COUNTIF (whole column), and vice versa?</t>
  </si>
  <si>
    <t>The Card average is inflated by one payment. How could COUNTIF of payments &gt;100 help you catch that before quoting the average?</t>
  </si>
  <si>
    <t>Why must text conditions like "Card" go in quotes?</t>
  </si>
  <si>
    <t>Confidence &amp; Next Steps</t>
  </si>
  <si>
    <t>Your readiness gate for Module 9</t>
  </si>
  <si>
    <t>Mastery gate - ready for Module 9 when you can honestly tick all of these</t>
  </si>
  <si>
    <t>Type x in each yellow box you can tick.</t>
  </si>
  <si>
    <t>I can use COUNTIF to count rows meeting one condition</t>
  </si>
  <si>
    <t>I can explain IF (one row) vs the ...IF family (whole column)</t>
  </si>
  <si>
    <t>I saw how the outlier inflates the Card average</t>
  </si>
  <si>
    <t>Re-rate your confidence (compare with your baseline)</t>
  </si>
  <si>
    <t>Seeing these rise from your Module 8 baseline is the goal.</t>
  </si>
  <si>
    <t>Now (1-5)</t>
  </si>
  <si>
    <t>Next up - Module 9: The IFS family. You'll count, total and average on MORE THAN ONE condition at once (COUNTIFS / SUMIFS / AVERAGEIFS), and combine IF with AND and OR - e.g. Adult members who are also Recent joiners, or Card payments over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</si>
</sst>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8" x14ac:knownFonts="1">
    <font>
      <sz val="11"/>
      <color theme="1"/>
      <name val="Calibri"/>
      <charset val="1"/>
    </font>
    <font>
      <b/>
      <sz val="18"/>
      <color rgb="FFFFFFFF"/>
      <name val="Arial"/>
      <family val="2"/>
    </font>
    <font>
      <b/>
      <sz val="7"/>
      <color rgb="FF8C8C8C"/>
      <name val="Arial"/>
      <family val="2"/>
    </font>
    <font>
      <sz val="11"/>
      <color rgb="FFFFFFFF"/>
      <name val="Arial"/>
      <family val="2"/>
    </font>
    <font>
      <sz val="8"/>
      <color rgb="FF595959"/>
      <name val="Arial"/>
      <family val="2"/>
    </font>
    <font>
      <b/>
      <sz val="8"/>
      <color rgb="FFFFFFFF"/>
      <name val="Arial"/>
      <family val="2"/>
    </font>
    <font>
      <sz val="11"/>
      <color rgb="FF000000"/>
      <name val="Arial"/>
      <family val="2"/>
    </font>
    <font>
      <b/>
      <sz val="12"/>
      <color rgb="FF1F3B57"/>
      <name val="Arial"/>
      <family val="2"/>
    </font>
    <font>
      <b/>
      <sz val="11"/>
      <color rgb="FF1F3B57"/>
      <name val="Arial"/>
      <family val="2"/>
    </font>
    <font>
      <sz val="11"/>
      <color rgb="FF006100"/>
      <name val="Arial"/>
      <family val="2"/>
    </font>
    <font>
      <b/>
      <sz val="10.5"/>
      <color rgb="FFFFFFFF"/>
      <name val="Arial"/>
      <family val="2"/>
    </font>
    <font>
      <i/>
      <sz val="10"/>
      <color rgb="FF555555"/>
      <name val="Arial"/>
      <family val="2"/>
    </font>
    <font>
      <b/>
      <sz val="10"/>
      <color rgb="FF1F6B6B"/>
      <name val="Arial"/>
      <family val="2"/>
    </font>
    <font>
      <b/>
      <sz val="11"/>
      <name val="Arial"/>
      <family val="2"/>
    </font>
    <font>
      <i/>
      <sz val="9.5"/>
      <color rgb="FF3F6363"/>
      <name val="Arial"/>
      <family val="2"/>
    </font>
    <font>
      <sz val="11"/>
      <color rgb="FF2E8B8B"/>
      <name val="Arial"/>
      <family val="2"/>
    </font>
    <font>
      <b/>
      <sz val="11"/>
      <color rgb="FFFFFFFF"/>
      <name val="Arial"/>
      <family val="2"/>
    </font>
    <font>
      <sz val="10.5"/>
      <color rgb="FF5B4A1F"/>
      <name val="Arial"/>
      <family val="2"/>
    </font>
  </fonts>
  <fills count="13">
    <fill>
      <patternFill patternType="none"/>
    </fill>
    <fill>
      <patternFill patternType="gray125"/>
    </fill>
    <fill>
      <patternFill patternType="solid">
        <fgColor rgb="FF1F3B57"/>
        <bgColor rgb="FF003366"/>
      </patternFill>
    </fill>
    <fill>
      <patternFill patternType="solid">
        <fgColor rgb="FF2E8B8B"/>
        <bgColor rgb="FF2E75B6"/>
      </patternFill>
    </fill>
    <fill>
      <patternFill patternType="solid">
        <fgColor rgb="FFE2E6EA"/>
        <bgColor rgb="FFEDEDED"/>
      </patternFill>
    </fill>
    <fill>
      <patternFill patternType="solid">
        <fgColor rgb="FFEAF2F2"/>
        <bgColor rgb="FFEFF6F6"/>
      </patternFill>
    </fill>
    <fill>
      <patternFill patternType="solid">
        <fgColor rgb="FFC6EFCE"/>
        <bgColor rgb="FFE2E6EA"/>
      </patternFill>
    </fill>
    <fill>
      <patternFill patternType="solid">
        <fgColor rgb="FFFFF3C4"/>
        <bgColor rgb="FFFDF4E3"/>
      </patternFill>
    </fill>
    <fill>
      <patternFill patternType="solid">
        <fgColor rgb="FFEDEDED"/>
        <bgColor rgb="FFEAF2F2"/>
      </patternFill>
    </fill>
    <fill>
      <patternFill patternType="solid">
        <fgColor rgb="FFEFF6F6"/>
        <bgColor rgb="FFF2F7F7"/>
      </patternFill>
    </fill>
    <fill>
      <patternFill patternType="solid">
        <fgColor rgb="FFF2F7F7"/>
        <bgColor rgb="FFEFF6F6"/>
      </patternFill>
    </fill>
    <fill>
      <patternFill patternType="solid">
        <fgColor rgb="FFFFFFFF"/>
        <bgColor rgb="FFF2F7F7"/>
      </patternFill>
    </fill>
    <fill>
      <patternFill patternType="solid">
        <fgColor rgb="FFFDF4E3"/>
        <bgColor rgb="FFF2F7F7"/>
      </patternFill>
    </fill>
  </fills>
  <borders count="10">
    <border>
      <left/>
      <right/>
      <top/>
      <bottom/>
      <diagonal/>
    </border>
    <border>
      <left/>
      <right/>
      <top/>
      <bottom style="medium">
        <color rgb="FF2E8B8B"/>
      </bottom>
      <diagonal/>
    </border>
    <border>
      <left style="thick">
        <color rgb="FF2E8B8B"/>
      </left>
      <right/>
      <top/>
      <bottom/>
      <diagonal/>
    </border>
    <border>
      <left style="thick">
        <color rgb="FF2E8B8B"/>
      </left>
      <right/>
      <top style="thin">
        <color rgb="FFBFBFBF"/>
      </top>
      <bottom/>
      <diagonal/>
    </border>
    <border>
      <left style="thin">
        <color rgb="FFBFBFBF"/>
      </left>
      <right/>
      <top style="thin">
        <color rgb="FFBFBFBF"/>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2E8B8B"/>
      </left>
      <right style="hair">
        <color rgb="FF9DC3C3"/>
      </right>
      <top style="hair">
        <color rgb="FF9DC3C3"/>
      </top>
      <bottom style="hair">
        <color rgb="FF9DC3C3"/>
      </bottom>
      <diagonal/>
    </border>
    <border>
      <left style="thin">
        <color rgb="FFD9D9D9"/>
      </left>
      <right style="thin">
        <color rgb="FFD9D9D9"/>
      </right>
      <top style="thin">
        <color rgb="FFD9D9D9"/>
      </top>
      <bottom style="thin">
        <color rgb="FFD9D9D9"/>
      </bottom>
      <diagonal/>
    </border>
    <border>
      <left style="thick">
        <color rgb="FFE8A33D"/>
      </left>
      <right/>
      <top/>
      <bottom/>
      <diagonal/>
    </border>
  </borders>
  <cellStyleXfs count="1">
    <xf numFmtId="0" fontId="0" fillId="0" borderId="0"/>
  </cellStyleXfs>
  <cellXfs count="38">
    <xf numFmtId="0" fontId="0" fillId="0" borderId="0" xfId="0"/>
    <xf numFmtId="0" fontId="14" fillId="9" borderId="7" xfId="0" applyFont="1" applyFill="1" applyBorder="1" applyAlignment="1">
      <alignment vertical="top" wrapText="1"/>
    </xf>
    <xf numFmtId="0" fontId="11" fillId="0" borderId="5" xfId="0" applyFont="1" applyBorder="1" applyAlignment="1">
      <alignment vertical="top" wrapText="1"/>
    </xf>
    <xf numFmtId="0" fontId="10" fillId="2" borderId="0" xfId="0" applyFont="1" applyFill="1" applyAlignment="1">
      <alignment horizontal="center" vertical="center" wrapText="1"/>
    </xf>
    <xf numFmtId="0" fontId="10" fillId="2" borderId="0" xfId="0" applyFont="1" applyFill="1" applyAlignment="1">
      <alignment horizontal="left" vertical="center" wrapText="1" indent="1"/>
    </xf>
    <xf numFmtId="0" fontId="6" fillId="0" borderId="5" xfId="0" applyFont="1" applyBorder="1" applyAlignment="1">
      <alignment vertical="top" wrapText="1"/>
    </xf>
    <xf numFmtId="0" fontId="10" fillId="2" borderId="0" xfId="0" applyFont="1" applyFill="1" applyAlignment="1">
      <alignment vertical="center" wrapText="1" indent="1"/>
    </xf>
    <xf numFmtId="0" fontId="9" fillId="6" borderId="4" xfId="0" applyFont="1" applyFill="1" applyBorder="1" applyAlignment="1">
      <alignment vertical="top" wrapText="1"/>
    </xf>
    <xf numFmtId="0" fontId="8" fillId="0" borderId="0" xfId="0" applyFont="1" applyAlignment="1">
      <alignment vertical="top" wrapText="1"/>
    </xf>
    <xf numFmtId="0" fontId="6" fillId="5" borderId="3" xfId="0" applyFont="1" applyFill="1" applyBorder="1" applyAlignment="1">
      <alignment vertical="center" wrapText="1" indent="1"/>
    </xf>
    <xf numFmtId="0" fontId="7" fillId="5" borderId="2" xfId="0" applyFont="1" applyFill="1" applyBorder="1" applyAlignment="1">
      <alignment vertical="center" indent="1"/>
    </xf>
    <xf numFmtId="0" fontId="6" fillId="0" borderId="0" xfId="0" applyFont="1" applyAlignment="1">
      <alignment vertical="top" wrapText="1"/>
    </xf>
    <xf numFmtId="0" fontId="3" fillId="3" borderId="1" xfId="0" applyFont="1" applyFill="1" applyBorder="1" applyAlignment="1">
      <alignment horizontal="left" vertical="center"/>
    </xf>
    <xf numFmtId="0" fontId="1" fillId="2" borderId="0" xfId="0" applyFont="1" applyFill="1" applyAlignment="1">
      <alignment horizontal="left" vertical="center"/>
    </xf>
    <xf numFmtId="0" fontId="2" fillId="0" borderId="0" xfId="0" applyFont="1"/>
    <xf numFmtId="0" fontId="4" fillId="4" borderId="0" xfId="0" applyFont="1" applyFill="1" applyAlignment="1">
      <alignment horizontal="center" vertical="center"/>
    </xf>
    <xf numFmtId="0" fontId="5" fillId="3" borderId="0" xfId="0" applyFont="1" applyFill="1" applyAlignment="1">
      <alignment horizontal="center" vertical="center"/>
    </xf>
    <xf numFmtId="0" fontId="10" fillId="2" borderId="0" xfId="0" applyFont="1" applyFill="1" applyAlignment="1">
      <alignment vertical="center" wrapText="1"/>
    </xf>
    <xf numFmtId="0" fontId="11" fillId="0" borderId="0" xfId="0" applyFont="1"/>
    <xf numFmtId="0" fontId="8" fillId="0" borderId="0" xfId="0" applyFont="1"/>
    <xf numFmtId="0" fontId="6" fillId="8" borderId="6" xfId="0" applyFont="1" applyFill="1" applyBorder="1" applyAlignment="1">
      <alignment horizontal="center" vertical="center"/>
    </xf>
    <xf numFmtId="0" fontId="10" fillId="2" borderId="0" xfId="0" applyFont="1" applyFill="1" applyAlignment="1">
      <alignment horizontal="center" vertical="center" wrapText="1"/>
    </xf>
    <xf numFmtId="0" fontId="12" fillId="0" borderId="0" xfId="0" applyFont="1" applyAlignment="1">
      <alignment vertical="center"/>
    </xf>
    <xf numFmtId="0" fontId="13" fillId="0" borderId="6" xfId="0" applyFont="1" applyBorder="1" applyAlignment="1">
      <alignment horizontal="center" vertical="center"/>
    </xf>
    <xf numFmtId="0" fontId="16" fillId="2" borderId="1" xfId="0" applyFont="1" applyFill="1" applyBorder="1" applyAlignment="1">
      <alignment horizontal="center" vertical="center"/>
    </xf>
    <xf numFmtId="0" fontId="6" fillId="10" borderId="8" xfId="0" applyFont="1" applyFill="1" applyBorder="1" applyAlignment="1">
      <alignment horizontal="center"/>
    </xf>
    <xf numFmtId="0" fontId="6" fillId="10" borderId="8" xfId="0" applyFont="1" applyFill="1" applyBorder="1"/>
    <xf numFmtId="164" fontId="6" fillId="10" borderId="8" xfId="0" applyNumberFormat="1" applyFont="1" applyFill="1" applyBorder="1" applyAlignment="1">
      <alignment horizontal="right"/>
    </xf>
    <xf numFmtId="0" fontId="6" fillId="11" borderId="8" xfId="0" applyFont="1" applyFill="1" applyBorder="1" applyAlignment="1">
      <alignment horizontal="center"/>
    </xf>
    <xf numFmtId="0" fontId="6" fillId="11" borderId="8" xfId="0" applyFont="1" applyFill="1" applyBorder="1"/>
    <xf numFmtId="164" fontId="6" fillId="11" borderId="8" xfId="0" applyNumberFormat="1" applyFont="1" applyFill="1" applyBorder="1" applyAlignment="1">
      <alignment horizontal="right"/>
    </xf>
    <xf numFmtId="0" fontId="8" fillId="0" borderId="6" xfId="0" applyFont="1" applyBorder="1" applyAlignment="1">
      <alignment vertical="top" wrapText="1"/>
    </xf>
    <xf numFmtId="0" fontId="6" fillId="0" borderId="6" xfId="0" applyFont="1" applyBorder="1" applyAlignment="1">
      <alignment vertical="top" wrapText="1"/>
    </xf>
    <xf numFmtId="0" fontId="15" fillId="0" borderId="0" xfId="0" applyFont="1" applyAlignment="1">
      <alignment vertical="top" wrapText="1"/>
    </xf>
    <xf numFmtId="0" fontId="17" fillId="12" borderId="9" xfId="0" applyFont="1" applyFill="1" applyBorder="1" applyAlignment="1">
      <alignment vertical="top" wrapText="1"/>
    </xf>
    <xf numFmtId="0" fontId="0" fillId="7" borderId="5" xfId="0" applyFill="1" applyBorder="1" applyAlignment="1" applyProtection="1">
      <alignment horizontal="center" vertical="center"/>
      <protection locked="0"/>
    </xf>
    <xf numFmtId="0" fontId="0" fillId="7" borderId="6" xfId="0" applyFill="1" applyBorder="1" applyAlignment="1" applyProtection="1">
      <alignment horizontal="center" vertical="center"/>
      <protection locked="0"/>
    </xf>
    <xf numFmtId="0" fontId="0" fillId="7" borderId="5" xfId="0" applyFill="1" applyBorder="1" applyAlignment="1" applyProtection="1">
      <alignment vertical="top" wrapText="1"/>
      <protection locked="0"/>
    </xf>
  </cellXfs>
  <cellStyles count="1">
    <cellStyle name="Normal" xfId="0" builtinId="0"/>
  </cellStyles>
  <dxfs count="10">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2F7F7"/>
      <rgbColor rgb="FFFF00FF"/>
      <rgbColor rgb="FF00FFFF"/>
      <rgbColor rgb="FF9C0006"/>
      <rgbColor rgb="FF006100"/>
      <rgbColor rgb="FF000080"/>
      <rgbColor rgb="FF548235"/>
      <rgbColor rgb="FF800080"/>
      <rgbColor rgb="FF1F6B6B"/>
      <rgbColor rgb="FFBFBFBF"/>
      <rgbColor rgb="FF7F8C99"/>
      <rgbColor rgb="FF9999FF"/>
      <rgbColor rgb="FF7030A0"/>
      <rgbColor rgb="FFFFF3C4"/>
      <rgbColor rgb="FFEAF2F2"/>
      <rgbColor rgb="FF660066"/>
      <rgbColor rgb="FFFF8080"/>
      <rgbColor rgb="FF0066CC"/>
      <rgbColor rgb="FFD9D9D9"/>
      <rgbColor rgb="FF000080"/>
      <rgbColor rgb="FFFF00FF"/>
      <rgbColor rgb="FFFFFF00"/>
      <rgbColor rgb="FF00FFFF"/>
      <rgbColor rgb="FF800080"/>
      <rgbColor rgb="FF800000"/>
      <rgbColor rgb="FF3F6363"/>
      <rgbColor rgb="FF0000FF"/>
      <rgbColor rgb="FF00CCFF"/>
      <rgbColor rgb="FFEFF6F6"/>
      <rgbColor rgb="FFC6EFCE"/>
      <rgbColor rgb="FFFDF4E3"/>
      <rgbColor rgb="FF9DC3C3"/>
      <rgbColor rgb="FFEDEDED"/>
      <rgbColor rgb="FFE2E6EA"/>
      <rgbColor rgb="FFFFC7CE"/>
      <rgbColor rgb="FF2E75B6"/>
      <rgbColor rgb="FF33CCCC"/>
      <rgbColor rgb="FF99CC00"/>
      <rgbColor rgb="FFFFCC00"/>
      <rgbColor rgb="FFE8A33D"/>
      <rgbColor rgb="FFBF8F00"/>
      <rgbColor rgb="FF595959"/>
      <rgbColor rgb="FF8C8C8C"/>
      <rgbColor rgb="FF003366"/>
      <rgbColor rgb="FF2E8B8B"/>
      <rgbColor rgb="FF003300"/>
      <rgbColor rgb="FF5B4A1F"/>
      <rgbColor rgb="FF993300"/>
      <rgbColor rgb="FF993366"/>
      <rgbColor rgb="FF555555"/>
      <rgbColor rgb="FF1F3B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B57"/>
  </sheetPr>
  <dimension ref="A1:V1000"/>
  <sheetViews>
    <sheetView showGridLines="0" tabSelected="1" zoomScaleNormal="100" workbookViewId="0">
      <selection activeCell="G25" sqref="G25:H28"/>
    </sheetView>
  </sheetViews>
  <sheetFormatPr defaultColWidth="14.42578125" defaultRowHeight="15" x14ac:dyDescent="0.25"/>
  <cols>
    <col min="1" max="1" width="3" customWidth="1"/>
    <col min="2" max="2" width="24" customWidth="1"/>
    <col min="3" max="5" width="14" customWidth="1"/>
    <col min="6" max="6" width="16" customWidth="1"/>
    <col min="7" max="7" width="14" customWidth="1"/>
    <col min="8" max="8" width="16" customWidth="1"/>
    <col min="10" max="22" width="3.42578125" customWidth="1"/>
  </cols>
  <sheetData>
    <row r="1" spans="1:22" ht="30" customHeight="1" x14ac:dyDescent="0.25">
      <c r="A1" s="13" t="s">
        <v>0</v>
      </c>
      <c r="B1" s="13"/>
      <c r="C1" s="13"/>
      <c r="D1" s="13"/>
      <c r="E1" s="13"/>
      <c r="F1" s="13"/>
      <c r="G1" s="13"/>
      <c r="H1" s="13"/>
      <c r="J1" s="14" t="s">
        <v>1</v>
      </c>
    </row>
    <row r="2" spans="1:22" ht="21.75" customHeight="1" x14ac:dyDescent="0.25">
      <c r="A2" s="12" t="s">
        <v>2</v>
      </c>
      <c r="B2" s="12"/>
      <c r="C2" s="12"/>
      <c r="D2" s="12"/>
      <c r="E2" s="12"/>
      <c r="F2" s="12"/>
      <c r="G2" s="12"/>
      <c r="H2" s="12"/>
      <c r="J2" s="15">
        <v>1</v>
      </c>
      <c r="K2" s="15">
        <v>2</v>
      </c>
      <c r="L2" s="15">
        <v>3</v>
      </c>
      <c r="M2" s="15">
        <v>4</v>
      </c>
      <c r="N2" s="15">
        <v>5</v>
      </c>
      <c r="O2" s="15">
        <v>6</v>
      </c>
      <c r="P2" s="15">
        <v>7</v>
      </c>
      <c r="Q2" s="16">
        <v>8</v>
      </c>
      <c r="R2" s="15">
        <v>9</v>
      </c>
      <c r="S2" s="15">
        <v>10</v>
      </c>
      <c r="T2" s="15">
        <v>11</v>
      </c>
      <c r="U2" s="15">
        <v>12</v>
      </c>
      <c r="V2" s="15">
        <v>13</v>
      </c>
    </row>
    <row r="4" spans="1:22" ht="57.75" customHeight="1" x14ac:dyDescent="0.25">
      <c r="A4" s="11" t="s">
        <v>3</v>
      </c>
      <c r="B4" s="11"/>
      <c r="C4" s="11"/>
      <c r="D4" s="11"/>
      <c r="E4" s="11"/>
      <c r="F4" s="11"/>
      <c r="G4" s="11"/>
      <c r="H4" s="11"/>
    </row>
    <row r="6" spans="1:22" ht="24" customHeight="1" x14ac:dyDescent="0.25">
      <c r="A6" s="10" t="s">
        <v>4</v>
      </c>
      <c r="B6" s="10"/>
      <c r="C6" s="10"/>
      <c r="D6" s="10"/>
      <c r="E6" s="10"/>
      <c r="F6" s="10"/>
      <c r="G6" s="10"/>
      <c r="H6" s="10"/>
    </row>
    <row r="7" spans="1:22" ht="19.5" customHeight="1" x14ac:dyDescent="0.25">
      <c r="B7" s="9" t="s">
        <v>5</v>
      </c>
      <c r="C7" s="9"/>
      <c r="D7" s="9"/>
      <c r="E7" s="9"/>
      <c r="F7" s="9"/>
      <c r="G7" s="9"/>
      <c r="H7" s="9"/>
    </row>
    <row r="8" spans="1:22" ht="15" customHeight="1" x14ac:dyDescent="0.25">
      <c r="B8" s="9"/>
      <c r="C8" s="9"/>
      <c r="D8" s="9"/>
      <c r="E8" s="9"/>
      <c r="F8" s="9"/>
      <c r="G8" s="9"/>
      <c r="H8" s="9"/>
    </row>
    <row r="9" spans="1:22" ht="19.5" customHeight="1" x14ac:dyDescent="0.25">
      <c r="B9" s="9" t="s">
        <v>6</v>
      </c>
      <c r="C9" s="9"/>
      <c r="D9" s="9"/>
      <c r="E9" s="9"/>
      <c r="F9" s="9"/>
      <c r="G9" s="9"/>
      <c r="H9" s="9"/>
    </row>
    <row r="10" spans="1:22" ht="15" customHeight="1" x14ac:dyDescent="0.25">
      <c r="B10" s="9"/>
      <c r="C10" s="9"/>
      <c r="D10" s="9"/>
      <c r="E10" s="9"/>
      <c r="F10" s="9"/>
      <c r="G10" s="9"/>
      <c r="H10" s="9"/>
    </row>
    <row r="11" spans="1:22" ht="18" customHeight="1" x14ac:dyDescent="0.25">
      <c r="A11" s="8" t="s">
        <v>7</v>
      </c>
      <c r="B11" s="8"/>
      <c r="C11" s="8"/>
      <c r="D11" s="8"/>
      <c r="E11" s="8"/>
      <c r="F11" s="8"/>
      <c r="G11" s="8"/>
      <c r="H11" s="8"/>
    </row>
    <row r="13" spans="1:22" ht="24" customHeight="1" x14ac:dyDescent="0.25">
      <c r="A13" s="10" t="s">
        <v>8</v>
      </c>
      <c r="B13" s="10"/>
      <c r="C13" s="10"/>
      <c r="D13" s="10"/>
      <c r="E13" s="10"/>
      <c r="F13" s="10"/>
      <c r="G13" s="10"/>
      <c r="H13" s="10"/>
    </row>
    <row r="14" spans="1:22" ht="15.75" customHeight="1" x14ac:dyDescent="0.25">
      <c r="A14" s="11" t="s">
        <v>9</v>
      </c>
      <c r="B14" s="11"/>
      <c r="C14" s="11"/>
      <c r="D14" s="11"/>
      <c r="E14" s="11"/>
      <c r="F14" s="11"/>
      <c r="G14" s="11"/>
      <c r="H14" s="11"/>
    </row>
    <row r="15" spans="1:22" ht="15.75" customHeight="1" x14ac:dyDescent="0.25">
      <c r="A15" s="11" t="s">
        <v>10</v>
      </c>
      <c r="B15" s="11"/>
      <c r="C15" s="11"/>
      <c r="D15" s="11"/>
      <c r="E15" s="11"/>
      <c r="F15" s="11"/>
      <c r="G15" s="11"/>
      <c r="H15" s="11"/>
    </row>
    <row r="16" spans="1:22" ht="15.75" customHeight="1" x14ac:dyDescent="0.25">
      <c r="A16" s="11" t="s">
        <v>11</v>
      </c>
      <c r="B16" s="11"/>
      <c r="C16" s="11"/>
      <c r="D16" s="11"/>
      <c r="E16" s="11"/>
      <c r="F16" s="11"/>
      <c r="G16" s="11"/>
      <c r="H16" s="11"/>
    </row>
    <row r="18" spans="1:8" ht="24" customHeight="1" x14ac:dyDescent="0.25">
      <c r="A18" s="10" t="s">
        <v>12</v>
      </c>
      <c r="B18" s="10"/>
      <c r="C18" s="10"/>
      <c r="D18" s="10"/>
      <c r="E18" s="10"/>
      <c r="F18" s="10"/>
      <c r="G18" s="10"/>
      <c r="H18" s="10"/>
    </row>
    <row r="19" spans="1:8" ht="15" customHeight="1" x14ac:dyDescent="0.25">
      <c r="B19" s="7" t="s">
        <v>13</v>
      </c>
      <c r="C19" s="7"/>
      <c r="D19" s="7"/>
      <c r="E19" s="7"/>
      <c r="F19" s="7"/>
      <c r="G19" s="7"/>
      <c r="H19" s="7"/>
    </row>
    <row r="20" spans="1:8" ht="15" customHeight="1" x14ac:dyDescent="0.25">
      <c r="B20" s="7"/>
      <c r="C20" s="7"/>
      <c r="D20" s="7"/>
      <c r="E20" s="7"/>
      <c r="F20" s="7"/>
      <c r="G20" s="7"/>
      <c r="H20" s="7"/>
    </row>
    <row r="21" spans="1:8" ht="15.75" customHeight="1" x14ac:dyDescent="0.25">
      <c r="B21" s="7"/>
      <c r="C21" s="7"/>
      <c r="D21" s="7"/>
      <c r="E21" s="7"/>
      <c r="F21" s="7"/>
      <c r="G21" s="7"/>
      <c r="H21" s="7"/>
    </row>
    <row r="22" spans="1:8" ht="15.75" customHeight="1" x14ac:dyDescent="0.25"/>
    <row r="23" spans="1:8" ht="24" customHeight="1" x14ac:dyDescent="0.25">
      <c r="A23" s="10" t="s">
        <v>14</v>
      </c>
      <c r="B23" s="10"/>
      <c r="C23" s="10"/>
      <c r="D23" s="10"/>
      <c r="E23" s="10"/>
      <c r="F23" s="10"/>
      <c r="G23" s="10"/>
      <c r="H23" s="10"/>
    </row>
    <row r="24" spans="1:8" ht="18" customHeight="1" x14ac:dyDescent="0.25">
      <c r="B24" s="6" t="s">
        <v>15</v>
      </c>
      <c r="C24" s="6"/>
      <c r="D24" s="6"/>
      <c r="E24" s="6"/>
      <c r="F24" s="6"/>
      <c r="G24" s="17" t="s">
        <v>16</v>
      </c>
    </row>
    <row r="25" spans="1:8" ht="15" customHeight="1" x14ac:dyDescent="0.25">
      <c r="B25" s="5" t="s">
        <v>17</v>
      </c>
      <c r="C25" s="5"/>
      <c r="D25" s="5"/>
      <c r="E25" s="5"/>
      <c r="F25" s="5"/>
      <c r="G25" s="35"/>
      <c r="H25" s="35"/>
    </row>
    <row r="26" spans="1:8" ht="15" customHeight="1" x14ac:dyDescent="0.25">
      <c r="B26" s="5" t="s">
        <v>18</v>
      </c>
      <c r="C26" s="5"/>
      <c r="D26" s="5"/>
      <c r="E26" s="5"/>
      <c r="F26" s="5"/>
      <c r="G26" s="35"/>
      <c r="H26" s="35"/>
    </row>
    <row r="27" spans="1:8" ht="15" customHeight="1" x14ac:dyDescent="0.25">
      <c r="B27" s="5" t="s">
        <v>19</v>
      </c>
      <c r="C27" s="5"/>
      <c r="D27" s="5"/>
      <c r="E27" s="5"/>
      <c r="F27" s="5"/>
      <c r="G27" s="35"/>
      <c r="H27" s="35"/>
    </row>
    <row r="28" spans="1:8" ht="15" customHeight="1" x14ac:dyDescent="0.25">
      <c r="B28" s="5" t="s">
        <v>20</v>
      </c>
      <c r="C28" s="5"/>
      <c r="D28" s="5"/>
      <c r="E28" s="5"/>
      <c r="F28" s="5"/>
      <c r="G28" s="35"/>
      <c r="H28" s="35"/>
    </row>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23">
    <mergeCell ref="B28:F28"/>
    <mergeCell ref="G28:H28"/>
    <mergeCell ref="B25:F25"/>
    <mergeCell ref="G25:H25"/>
    <mergeCell ref="B26:F26"/>
    <mergeCell ref="G26:H26"/>
    <mergeCell ref="B27:F27"/>
    <mergeCell ref="G27:H27"/>
    <mergeCell ref="A16:H16"/>
    <mergeCell ref="A18:H18"/>
    <mergeCell ref="B19:H21"/>
    <mergeCell ref="A23:H23"/>
    <mergeCell ref="B24:F24"/>
    <mergeCell ref="B9:H10"/>
    <mergeCell ref="A11:H11"/>
    <mergeCell ref="A13:H13"/>
    <mergeCell ref="A14:H14"/>
    <mergeCell ref="A15:H15"/>
    <mergeCell ref="A1:H1"/>
    <mergeCell ref="A2:H2"/>
    <mergeCell ref="A4:H4"/>
    <mergeCell ref="A6:H6"/>
    <mergeCell ref="B7:H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8B8B"/>
  </sheetPr>
  <dimension ref="A1:J1000"/>
  <sheetViews>
    <sheetView showGridLines="0" zoomScaleNormal="100" workbookViewId="0">
      <selection activeCell="F14" sqref="F14"/>
    </sheetView>
  </sheetViews>
  <sheetFormatPr defaultColWidth="14.42578125" defaultRowHeight="15" x14ac:dyDescent="0.25"/>
  <cols>
    <col min="1" max="1" width="3" customWidth="1"/>
    <col min="2" max="2" width="30" customWidth="1"/>
    <col min="3" max="3" width="14" customWidth="1"/>
    <col min="4" max="4" width="24" customWidth="1"/>
    <col min="5" max="5" width="12" customWidth="1"/>
    <col min="6" max="6" width="16" customWidth="1"/>
    <col min="7" max="7" width="14" customWidth="1"/>
    <col min="8" max="8" width="10" customWidth="1"/>
    <col min="9" max="9" width="1.5703125" customWidth="1"/>
    <col min="10" max="10" width="52" customWidth="1"/>
  </cols>
  <sheetData>
    <row r="1" spans="1:10" ht="30" customHeight="1" x14ac:dyDescent="0.25">
      <c r="A1" s="13" t="s">
        <v>21</v>
      </c>
      <c r="B1" s="13"/>
      <c r="C1" s="13"/>
      <c r="D1" s="13"/>
      <c r="E1" s="13"/>
      <c r="F1" s="13"/>
      <c r="G1" s="13"/>
      <c r="H1" s="13"/>
    </row>
    <row r="2" spans="1:10" ht="21.75" customHeight="1" x14ac:dyDescent="0.25">
      <c r="A2" s="12" t="s">
        <v>22</v>
      </c>
      <c r="B2" s="12"/>
      <c r="C2" s="12"/>
      <c r="D2" s="12"/>
      <c r="E2" s="12"/>
      <c r="F2" s="12"/>
      <c r="G2" s="12"/>
      <c r="H2" s="12"/>
    </row>
    <row r="4" spans="1:10" ht="27.75" customHeight="1" x14ac:dyDescent="0.25">
      <c r="A4" s="11" t="s">
        <v>23</v>
      </c>
      <c r="B4" s="11"/>
      <c r="C4" s="11"/>
      <c r="D4" s="11"/>
      <c r="E4" s="11"/>
      <c r="F4" s="11"/>
      <c r="G4" s="11"/>
      <c r="H4" s="11"/>
    </row>
    <row r="5" spans="1:10" ht="15" customHeight="1" x14ac:dyDescent="0.25">
      <c r="B5" s="18" t="s">
        <v>24</v>
      </c>
    </row>
    <row r="6" spans="1:10" ht="15" customHeight="1" x14ac:dyDescent="0.25">
      <c r="B6" s="19" t="s">
        <v>25</v>
      </c>
      <c r="C6" s="19" t="s">
        <v>26</v>
      </c>
    </row>
    <row r="7" spans="1:10" ht="15" customHeight="1" x14ac:dyDescent="0.25">
      <c r="B7" s="20" t="s">
        <v>27</v>
      </c>
      <c r="C7" s="20">
        <v>10</v>
      </c>
    </row>
    <row r="8" spans="1:10" ht="15" customHeight="1" x14ac:dyDescent="0.25">
      <c r="B8" s="20" t="s">
        <v>28</v>
      </c>
      <c r="C8" s="20">
        <v>20</v>
      </c>
    </row>
    <row r="9" spans="1:10" ht="15" customHeight="1" x14ac:dyDescent="0.25">
      <c r="B9" s="20" t="s">
        <v>27</v>
      </c>
      <c r="C9" s="20">
        <v>30</v>
      </c>
    </row>
    <row r="10" spans="1:10" ht="15" customHeight="1" x14ac:dyDescent="0.25">
      <c r="B10" s="20" t="s">
        <v>28</v>
      </c>
      <c r="C10" s="20">
        <v>40</v>
      </c>
    </row>
    <row r="11" spans="1:10" ht="15" customHeight="1" x14ac:dyDescent="0.25">
      <c r="B11" s="20" t="s">
        <v>27</v>
      </c>
      <c r="C11" s="20">
        <v>50</v>
      </c>
    </row>
    <row r="13" spans="1:10" ht="18" customHeight="1" x14ac:dyDescent="0.25">
      <c r="B13" s="4" t="s">
        <v>29</v>
      </c>
      <c r="C13" s="4"/>
      <c r="D13" s="3" t="s">
        <v>30</v>
      </c>
      <c r="E13" s="3"/>
      <c r="F13" s="21" t="s">
        <v>31</v>
      </c>
      <c r="G13" s="21" t="s">
        <v>32</v>
      </c>
      <c r="J13" s="22" t="s">
        <v>33</v>
      </c>
    </row>
    <row r="14" spans="1:10" ht="30" customHeight="1" x14ac:dyDescent="0.25">
      <c r="B14" s="5" t="s">
        <v>34</v>
      </c>
      <c r="C14" s="5"/>
      <c r="D14" s="2" t="s">
        <v>35</v>
      </c>
      <c r="E14" s="2"/>
      <c r="F14" s="36"/>
      <c r="G14" s="23" t="str">
        <f>IF(F14="","",IF(ISNUMBER(SEARCH("small",F14)),"✓  Correct","✗  Try again"))</f>
        <v/>
      </c>
      <c r="J14" s="1" t="s">
        <v>36</v>
      </c>
    </row>
    <row r="15" spans="1:10" ht="30" customHeight="1" x14ac:dyDescent="0.25">
      <c r="B15" s="5" t="s">
        <v>37</v>
      </c>
      <c r="C15" s="5"/>
      <c r="D15" s="2" t="s">
        <v>38</v>
      </c>
      <c r="E15" s="2"/>
      <c r="F15" s="36"/>
      <c r="G15" s="23" t="str">
        <f>IF(F15="","",IF(ISNUMBER(SEARCH("big",F15)),"✓  Correct","✗  Try again"))</f>
        <v/>
      </c>
      <c r="J15" s="1"/>
    </row>
    <row r="16" spans="1:10" ht="30" customHeight="1" x14ac:dyDescent="0.25">
      <c r="B16" s="5" t="s">
        <v>39</v>
      </c>
      <c r="C16" s="5"/>
      <c r="D16" s="2" t="s">
        <v>40</v>
      </c>
      <c r="E16" s="2"/>
      <c r="F16" s="36"/>
      <c r="G16" s="23" t="str">
        <f>IF(F16="","",IFERROR(IF(ABS(F16-3)&lt;0.01,"✓  Correct","✗  Try again"),"✗  Try again"))</f>
        <v/>
      </c>
      <c r="J16" s="1"/>
    </row>
    <row r="17" spans="1:10" ht="30" customHeight="1" x14ac:dyDescent="0.25">
      <c r="B17" s="5" t="s">
        <v>41</v>
      </c>
      <c r="C17" s="5"/>
      <c r="D17" s="2" t="s">
        <v>42</v>
      </c>
      <c r="E17" s="2"/>
      <c r="F17" s="36"/>
      <c r="G17" s="23" t="str">
        <f>IF(F17="","",IFERROR(IF(ABS(F17-90)&lt;0.01,"✓  Correct","✗  Try again"),"✗  Try again"))</f>
        <v/>
      </c>
      <c r="J17" s="1"/>
    </row>
    <row r="18" spans="1:10" ht="30" customHeight="1" x14ac:dyDescent="0.25">
      <c r="B18" s="5" t="s">
        <v>43</v>
      </c>
      <c r="C18" s="5"/>
      <c r="D18" s="2" t="s">
        <v>44</v>
      </c>
      <c r="E18" s="2"/>
      <c r="F18" s="36"/>
      <c r="G18" s="23" t="str">
        <f>IF(F18="","",IFERROR(IF(ABS(F18-30)&lt;0.01,"✓  Correct","✗  Try again"),"✗  Try again"))</f>
        <v/>
      </c>
      <c r="J18" s="1"/>
    </row>
    <row r="20" spans="1:10" ht="24" customHeight="1" x14ac:dyDescent="0.25">
      <c r="A20" s="33" t="s">
        <v>45</v>
      </c>
      <c r="B20" s="33"/>
      <c r="C20" s="33"/>
      <c r="D20" s="33"/>
      <c r="E20" s="33"/>
      <c r="F20" s="33"/>
      <c r="G20" s="33"/>
      <c r="H20" s="33"/>
    </row>
    <row r="21" spans="1:10" ht="15.75" customHeight="1" x14ac:dyDescent="0.25"/>
    <row r="22" spans="1:10" ht="15.75" customHeight="1" x14ac:dyDescent="0.25"/>
    <row r="23" spans="1:10" ht="15.75" customHeight="1" x14ac:dyDescent="0.25"/>
    <row r="24" spans="1:10" ht="15.75" customHeight="1" x14ac:dyDescent="0.25"/>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7">
    <mergeCell ref="A20:H20"/>
    <mergeCell ref="B14:C14"/>
    <mergeCell ref="D14:E14"/>
    <mergeCell ref="J14:J18"/>
    <mergeCell ref="B15:C15"/>
    <mergeCell ref="D15:E15"/>
    <mergeCell ref="B16:C16"/>
    <mergeCell ref="D16:E16"/>
    <mergeCell ref="B17:C17"/>
    <mergeCell ref="D17:E17"/>
    <mergeCell ref="B18:C18"/>
    <mergeCell ref="D18:E18"/>
    <mergeCell ref="A1:H1"/>
    <mergeCell ref="A2:H2"/>
    <mergeCell ref="A4:H4"/>
    <mergeCell ref="B13:C13"/>
    <mergeCell ref="D13:E13"/>
  </mergeCells>
  <conditionalFormatting sqref="G14:G18">
    <cfRule type="expression" dxfId="9" priority="2">
      <formula>ISNUMBER(SEARCH("Correct",G14))</formula>
    </cfRule>
    <cfRule type="expression" dxfId="8" priority="3">
      <formula>ISNUMBER(SEARCH("Try",G14))</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F8C99"/>
  </sheetPr>
  <dimension ref="A1:I1000"/>
  <sheetViews>
    <sheetView showGridLines="0" zoomScaleNormal="100" workbookViewId="0">
      <pane ySplit="4" topLeftCell="A5" activePane="bottomLeft" state="frozen"/>
      <selection pane="bottomLeft" sqref="A1:I1"/>
    </sheetView>
  </sheetViews>
  <sheetFormatPr defaultColWidth="14.42578125" defaultRowHeight="15" x14ac:dyDescent="0.25"/>
  <cols>
    <col min="1" max="1" width="11" customWidth="1"/>
    <col min="2" max="2" width="16" customWidth="1"/>
    <col min="3" max="3" width="17" customWidth="1"/>
    <col min="4" max="4" width="11" customWidth="1"/>
    <col min="5" max="5" width="16" customWidth="1"/>
    <col min="6" max="8" width="14" customWidth="1"/>
    <col min="9" max="9" width="15" customWidth="1"/>
    <col min="10" max="12" width="8.7109375" customWidth="1"/>
  </cols>
  <sheetData>
    <row r="1" spans="1:9" ht="30" customHeight="1" x14ac:dyDescent="0.25">
      <c r="A1" s="13" t="s">
        <v>46</v>
      </c>
      <c r="B1" s="13"/>
      <c r="C1" s="13"/>
      <c r="D1" s="13"/>
      <c r="E1" s="13"/>
      <c r="F1" s="13"/>
      <c r="G1" s="13"/>
      <c r="H1" s="13"/>
      <c r="I1" s="13"/>
    </row>
    <row r="2" spans="1:9" ht="21.75" customHeight="1" x14ac:dyDescent="0.25">
      <c r="A2" s="12" t="s">
        <v>47</v>
      </c>
      <c r="B2" s="12"/>
      <c r="C2" s="12"/>
      <c r="D2" s="12"/>
      <c r="E2" s="12"/>
      <c r="F2" s="12"/>
      <c r="G2" s="12"/>
      <c r="H2" s="12"/>
      <c r="I2" s="12"/>
    </row>
    <row r="4" spans="1:9" ht="19.5" customHeight="1" x14ac:dyDescent="0.25">
      <c r="A4" s="24" t="s">
        <v>48</v>
      </c>
      <c r="B4" s="24" t="s">
        <v>49</v>
      </c>
      <c r="C4" s="24" t="s">
        <v>50</v>
      </c>
      <c r="D4" s="24" t="s">
        <v>51</v>
      </c>
      <c r="E4" s="24" t="s">
        <v>52</v>
      </c>
      <c r="F4" s="24" t="s">
        <v>53</v>
      </c>
      <c r="G4" s="24" t="s">
        <v>54</v>
      </c>
      <c r="H4" s="24" t="s">
        <v>55</v>
      </c>
      <c r="I4" s="24" t="s">
        <v>56</v>
      </c>
    </row>
    <row r="5" spans="1:9" ht="15" customHeight="1" x14ac:dyDescent="0.25">
      <c r="A5" s="25">
        <v>1001</v>
      </c>
      <c r="B5" s="26" t="s">
        <v>57</v>
      </c>
      <c r="C5" s="26" t="s">
        <v>58</v>
      </c>
      <c r="D5" s="26">
        <v>2021</v>
      </c>
      <c r="E5" s="26" t="s">
        <v>59</v>
      </c>
      <c r="F5" s="26" t="s">
        <v>60</v>
      </c>
      <c r="G5" s="27">
        <v>35</v>
      </c>
      <c r="H5" s="26" t="s">
        <v>61</v>
      </c>
      <c r="I5" s="26" t="s">
        <v>62</v>
      </c>
    </row>
    <row r="6" spans="1:9" ht="15" customHeight="1" x14ac:dyDescent="0.25">
      <c r="A6" s="28">
        <v>1002</v>
      </c>
      <c r="B6" s="29" t="s">
        <v>63</v>
      </c>
      <c r="C6" s="29" t="s">
        <v>64</v>
      </c>
      <c r="D6" s="29">
        <v>2020</v>
      </c>
      <c r="E6" s="29" t="s">
        <v>65</v>
      </c>
      <c r="F6" s="29" t="s">
        <v>60</v>
      </c>
      <c r="G6" s="30">
        <v>55</v>
      </c>
      <c r="H6" s="29" t="s">
        <v>61</v>
      </c>
      <c r="I6" s="29" t="s">
        <v>66</v>
      </c>
    </row>
    <row r="7" spans="1:9" ht="15" customHeight="1" x14ac:dyDescent="0.25">
      <c r="A7" s="25">
        <v>1003</v>
      </c>
      <c r="B7" s="26" t="s">
        <v>67</v>
      </c>
      <c r="C7" s="26" t="s">
        <v>68</v>
      </c>
      <c r="D7" s="26">
        <v>2022</v>
      </c>
      <c r="E7" s="26" t="s">
        <v>69</v>
      </c>
      <c r="F7" s="26" t="s">
        <v>70</v>
      </c>
      <c r="G7" s="27">
        <v>20</v>
      </c>
      <c r="H7" s="26" t="s">
        <v>71</v>
      </c>
      <c r="I7" s="26" t="s">
        <v>72</v>
      </c>
    </row>
    <row r="8" spans="1:9" ht="15" customHeight="1" x14ac:dyDescent="0.25">
      <c r="A8" s="28">
        <v>1004</v>
      </c>
      <c r="B8" s="29" t="s">
        <v>73</v>
      </c>
      <c r="C8" s="29" t="s">
        <v>74</v>
      </c>
      <c r="D8" s="29">
        <v>2019</v>
      </c>
      <c r="E8" s="29" t="s">
        <v>69</v>
      </c>
      <c r="F8" s="29" t="s">
        <v>75</v>
      </c>
      <c r="G8" s="30">
        <v>28</v>
      </c>
      <c r="H8" s="29" t="s">
        <v>71</v>
      </c>
      <c r="I8" s="29" t="s">
        <v>72</v>
      </c>
    </row>
    <row r="9" spans="1:9" ht="15" customHeight="1" x14ac:dyDescent="0.25">
      <c r="A9" s="25">
        <v>1005</v>
      </c>
      <c r="B9" s="26" t="s">
        <v>76</v>
      </c>
      <c r="C9" s="26" t="s">
        <v>58</v>
      </c>
      <c r="D9" s="26">
        <v>2023</v>
      </c>
      <c r="E9" s="26" t="s">
        <v>59</v>
      </c>
      <c r="F9" s="26" t="s">
        <v>70</v>
      </c>
      <c r="G9" s="27">
        <v>35</v>
      </c>
      <c r="H9" s="26" t="s">
        <v>61</v>
      </c>
      <c r="I9" s="26" t="s">
        <v>62</v>
      </c>
    </row>
    <row r="10" spans="1:9" ht="15" customHeight="1" x14ac:dyDescent="0.25">
      <c r="A10" s="28">
        <v>1006</v>
      </c>
      <c r="B10" s="29" t="s">
        <v>77</v>
      </c>
      <c r="C10" s="29" t="s">
        <v>58</v>
      </c>
      <c r="D10" s="29">
        <v>2021</v>
      </c>
      <c r="E10" s="29" t="s">
        <v>59</v>
      </c>
      <c r="F10" s="29" t="s">
        <v>60</v>
      </c>
      <c r="G10" s="30">
        <v>35</v>
      </c>
      <c r="H10" s="29" t="s">
        <v>78</v>
      </c>
      <c r="I10" s="29" t="s">
        <v>62</v>
      </c>
    </row>
    <row r="11" spans="1:9" ht="15" customHeight="1" x14ac:dyDescent="0.25">
      <c r="A11" s="25">
        <v>1007</v>
      </c>
      <c r="B11" s="26" t="s">
        <v>79</v>
      </c>
      <c r="C11" s="26" t="s">
        <v>64</v>
      </c>
      <c r="D11" s="26">
        <v>2022</v>
      </c>
      <c r="E11" s="26" t="s">
        <v>65</v>
      </c>
      <c r="F11" s="26" t="s">
        <v>70</v>
      </c>
      <c r="G11" s="27">
        <v>55</v>
      </c>
      <c r="H11" s="26" t="s">
        <v>61</v>
      </c>
      <c r="I11" s="26" t="s">
        <v>66</v>
      </c>
    </row>
    <row r="12" spans="1:9" ht="15" customHeight="1" x14ac:dyDescent="0.25">
      <c r="A12" s="28">
        <v>1008</v>
      </c>
      <c r="B12" s="29" t="s">
        <v>80</v>
      </c>
      <c r="C12" s="29" t="s">
        <v>68</v>
      </c>
      <c r="D12" s="29">
        <v>2020</v>
      </c>
      <c r="E12" s="29" t="s">
        <v>69</v>
      </c>
      <c r="F12" s="29" t="s">
        <v>60</v>
      </c>
      <c r="G12" s="30">
        <v>20</v>
      </c>
      <c r="H12" s="29" t="s">
        <v>71</v>
      </c>
      <c r="I12" s="29" t="s">
        <v>72</v>
      </c>
    </row>
    <row r="13" spans="1:9" ht="15" customHeight="1" x14ac:dyDescent="0.25">
      <c r="A13" s="25">
        <v>1009</v>
      </c>
      <c r="B13" s="26" t="s">
        <v>81</v>
      </c>
      <c r="C13" s="26" t="s">
        <v>58</v>
      </c>
      <c r="D13" s="26">
        <v>2023</v>
      </c>
      <c r="E13" s="26" t="s">
        <v>59</v>
      </c>
      <c r="F13" s="26" t="s">
        <v>70</v>
      </c>
      <c r="G13" s="27">
        <v>35</v>
      </c>
      <c r="H13" s="26" t="s">
        <v>61</v>
      </c>
      <c r="I13" s="26" t="s">
        <v>62</v>
      </c>
    </row>
    <row r="14" spans="1:9" ht="15" customHeight="1" x14ac:dyDescent="0.25">
      <c r="A14" s="28">
        <v>1010</v>
      </c>
      <c r="B14" s="29" t="s">
        <v>82</v>
      </c>
      <c r="C14" s="29" t="s">
        <v>74</v>
      </c>
      <c r="D14" s="29">
        <v>2018</v>
      </c>
      <c r="E14" s="29" t="s">
        <v>69</v>
      </c>
      <c r="F14" s="29" t="s">
        <v>75</v>
      </c>
      <c r="G14" s="30">
        <v>28</v>
      </c>
      <c r="H14" s="29" t="s">
        <v>71</v>
      </c>
      <c r="I14" s="29" t="s">
        <v>72</v>
      </c>
    </row>
    <row r="15" spans="1:9" ht="15" customHeight="1" x14ac:dyDescent="0.25">
      <c r="A15" s="25">
        <v>1011</v>
      </c>
      <c r="B15" s="26" t="s">
        <v>83</v>
      </c>
      <c r="C15" s="26" t="s">
        <v>58</v>
      </c>
      <c r="D15" s="26">
        <v>2022</v>
      </c>
      <c r="E15" s="26" t="s">
        <v>59</v>
      </c>
      <c r="F15" s="26" t="s">
        <v>70</v>
      </c>
      <c r="G15" s="27">
        <v>35</v>
      </c>
      <c r="H15" s="26" t="s">
        <v>61</v>
      </c>
      <c r="I15" s="26" t="s">
        <v>62</v>
      </c>
    </row>
    <row r="16" spans="1:9" ht="15" customHeight="1" x14ac:dyDescent="0.25">
      <c r="A16" s="28">
        <v>1012</v>
      </c>
      <c r="B16" s="29" t="s">
        <v>84</v>
      </c>
      <c r="C16" s="29" t="s">
        <v>64</v>
      </c>
      <c r="D16" s="29">
        <v>2021</v>
      </c>
      <c r="E16" s="29" t="s">
        <v>65</v>
      </c>
      <c r="F16" s="29" t="s">
        <v>60</v>
      </c>
      <c r="G16" s="30">
        <v>55</v>
      </c>
      <c r="H16" s="29" t="s">
        <v>78</v>
      </c>
      <c r="I16" s="29" t="s">
        <v>66</v>
      </c>
    </row>
    <row r="17" spans="1:9" ht="15" customHeight="1" x14ac:dyDescent="0.25">
      <c r="A17" s="25">
        <v>1013</v>
      </c>
      <c r="B17" s="26" t="s">
        <v>85</v>
      </c>
      <c r="C17" s="26" t="s">
        <v>68</v>
      </c>
      <c r="D17" s="26">
        <v>2023</v>
      </c>
      <c r="E17" s="26" t="s">
        <v>69</v>
      </c>
      <c r="F17" s="26" t="s">
        <v>70</v>
      </c>
      <c r="G17" s="27">
        <v>20</v>
      </c>
      <c r="H17" s="26" t="s">
        <v>71</v>
      </c>
      <c r="I17" s="26" t="s">
        <v>72</v>
      </c>
    </row>
    <row r="18" spans="1:9" ht="15" customHeight="1" x14ac:dyDescent="0.25">
      <c r="A18" s="28">
        <v>1014</v>
      </c>
      <c r="B18" s="29" t="s">
        <v>86</v>
      </c>
      <c r="C18" s="29" t="s">
        <v>58</v>
      </c>
      <c r="D18" s="29">
        <v>2020</v>
      </c>
      <c r="E18" s="29" t="s">
        <v>59</v>
      </c>
      <c r="F18" s="29" t="s">
        <v>60</v>
      </c>
      <c r="G18" s="30">
        <v>35</v>
      </c>
      <c r="H18" s="29" t="s">
        <v>61</v>
      </c>
      <c r="I18" s="29" t="s">
        <v>62</v>
      </c>
    </row>
    <row r="19" spans="1:9" ht="15" customHeight="1" x14ac:dyDescent="0.25">
      <c r="A19" s="25">
        <v>1015</v>
      </c>
      <c r="B19" s="26" t="s">
        <v>87</v>
      </c>
      <c r="C19" s="26" t="s">
        <v>58</v>
      </c>
      <c r="D19" s="26">
        <v>2022</v>
      </c>
      <c r="E19" s="26" t="s">
        <v>59</v>
      </c>
      <c r="F19" s="26" t="s">
        <v>70</v>
      </c>
      <c r="G19" s="27">
        <v>350</v>
      </c>
      <c r="H19" s="26" t="s">
        <v>71</v>
      </c>
      <c r="I19" s="26" t="s">
        <v>88</v>
      </c>
    </row>
    <row r="20" spans="1:9" ht="15" customHeight="1" x14ac:dyDescent="0.25">
      <c r="A20" s="28">
        <v>1016</v>
      </c>
      <c r="B20" s="29" t="s">
        <v>89</v>
      </c>
      <c r="C20" s="29" t="s">
        <v>74</v>
      </c>
      <c r="D20" s="29">
        <v>2019</v>
      </c>
      <c r="E20" s="29" t="s">
        <v>69</v>
      </c>
      <c r="F20" s="29" t="s">
        <v>75</v>
      </c>
      <c r="G20" s="30">
        <v>28</v>
      </c>
      <c r="H20" s="29" t="s">
        <v>71</v>
      </c>
      <c r="I20" s="29" t="s">
        <v>72</v>
      </c>
    </row>
    <row r="21" spans="1:9" ht="15.75" customHeight="1" x14ac:dyDescent="0.25">
      <c r="A21" s="25">
        <v>1017</v>
      </c>
      <c r="B21" s="26" t="s">
        <v>90</v>
      </c>
      <c r="C21" s="26" t="s">
        <v>58</v>
      </c>
      <c r="D21" s="26">
        <v>2023</v>
      </c>
      <c r="E21" s="26" t="s">
        <v>59</v>
      </c>
      <c r="F21" s="26" t="s">
        <v>70</v>
      </c>
      <c r="G21" s="27">
        <v>35</v>
      </c>
      <c r="H21" s="26" t="s">
        <v>61</v>
      </c>
      <c r="I21" s="26" t="s">
        <v>62</v>
      </c>
    </row>
    <row r="22" spans="1:9" ht="15.75" customHeight="1" x14ac:dyDescent="0.25">
      <c r="A22" s="28">
        <v>1018</v>
      </c>
      <c r="B22" s="29" t="s">
        <v>91</v>
      </c>
      <c r="C22" s="29" t="s">
        <v>64</v>
      </c>
      <c r="D22" s="29">
        <v>2021</v>
      </c>
      <c r="E22" s="29" t="s">
        <v>65</v>
      </c>
      <c r="F22" s="29" t="s">
        <v>60</v>
      </c>
      <c r="G22" s="30">
        <v>55</v>
      </c>
      <c r="H22" s="29" t="s">
        <v>61</v>
      </c>
      <c r="I22" s="29" t="s">
        <v>66</v>
      </c>
    </row>
    <row r="23" spans="1:9" ht="15.75" customHeight="1" x14ac:dyDescent="0.25">
      <c r="A23" s="25">
        <v>1019</v>
      </c>
      <c r="B23" s="26" t="s">
        <v>92</v>
      </c>
      <c r="C23" s="26" t="s">
        <v>68</v>
      </c>
      <c r="D23" s="26">
        <v>2022</v>
      </c>
      <c r="E23" s="26" t="s">
        <v>69</v>
      </c>
      <c r="F23" s="26" t="s">
        <v>70</v>
      </c>
      <c r="G23" s="27">
        <v>20</v>
      </c>
      <c r="H23" s="26" t="s">
        <v>71</v>
      </c>
      <c r="I23" s="26" t="s">
        <v>72</v>
      </c>
    </row>
    <row r="24" spans="1:9" ht="15.75" customHeight="1" x14ac:dyDescent="0.25">
      <c r="A24" s="28">
        <v>1020</v>
      </c>
      <c r="B24" s="29" t="s">
        <v>93</v>
      </c>
      <c r="C24" s="29" t="s">
        <v>58</v>
      </c>
      <c r="D24" s="29">
        <v>2020</v>
      </c>
      <c r="E24" s="29" t="s">
        <v>59</v>
      </c>
      <c r="F24" s="29" t="s">
        <v>60</v>
      </c>
      <c r="G24" s="30">
        <v>35</v>
      </c>
      <c r="H24" s="29" t="s">
        <v>78</v>
      </c>
      <c r="I24" s="29" t="s">
        <v>62</v>
      </c>
    </row>
    <row r="25" spans="1:9" ht="15.75" customHeight="1" x14ac:dyDescent="0.25">
      <c r="A25" s="25">
        <v>1021</v>
      </c>
      <c r="B25" s="26" t="s">
        <v>94</v>
      </c>
      <c r="C25" s="26" t="s">
        <v>58</v>
      </c>
      <c r="D25" s="26">
        <v>2023</v>
      </c>
      <c r="E25" s="26" t="s">
        <v>59</v>
      </c>
      <c r="F25" s="26" t="s">
        <v>70</v>
      </c>
      <c r="G25" s="26"/>
      <c r="H25" s="26"/>
      <c r="I25" s="26"/>
    </row>
    <row r="26" spans="1:9" ht="15.75" customHeight="1" x14ac:dyDescent="0.25">
      <c r="A26" s="28">
        <v>1022</v>
      </c>
      <c r="B26" s="29" t="s">
        <v>95</v>
      </c>
      <c r="C26" s="29" t="s">
        <v>74</v>
      </c>
      <c r="D26" s="29">
        <v>2021</v>
      </c>
      <c r="E26" s="29" t="s">
        <v>69</v>
      </c>
      <c r="F26" s="29" t="s">
        <v>60</v>
      </c>
      <c r="G26" s="29"/>
      <c r="H26" s="29"/>
      <c r="I26" s="29"/>
    </row>
    <row r="27" spans="1:9" ht="15.75" customHeight="1" x14ac:dyDescent="0.25">
      <c r="A27" s="25">
        <v>1023</v>
      </c>
      <c r="B27" s="26" t="s">
        <v>96</v>
      </c>
      <c r="C27" s="26" t="s">
        <v>58</v>
      </c>
      <c r="D27" s="26">
        <v>2022</v>
      </c>
      <c r="E27" s="26" t="s">
        <v>59</v>
      </c>
      <c r="F27" s="26" t="s">
        <v>70</v>
      </c>
      <c r="G27" s="26"/>
      <c r="H27" s="26"/>
      <c r="I27" s="26"/>
    </row>
    <row r="28" spans="1:9" ht="15.75" customHeight="1" x14ac:dyDescent="0.25"/>
    <row r="29" spans="1:9" ht="15.75" customHeight="1" x14ac:dyDescent="0.25"/>
    <row r="30" spans="1:9" ht="15.75" customHeight="1" x14ac:dyDescent="0.25"/>
    <row r="31" spans="1:9" ht="15.75" customHeight="1" x14ac:dyDescent="0.25"/>
    <row r="32" spans="1:9"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autoFilter ref="A4:I27" xr:uid="{00000000-0009-0000-0000-000002000000}"/>
  <mergeCells count="2">
    <mergeCell ref="A1:I1"/>
    <mergeCell ref="A2:I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J1000"/>
  <sheetViews>
    <sheetView showGridLines="0" zoomScaleNormal="100" workbookViewId="0">
      <selection activeCell="F7" sqref="F7"/>
    </sheetView>
  </sheetViews>
  <sheetFormatPr defaultColWidth="14.42578125" defaultRowHeight="15" x14ac:dyDescent="0.25"/>
  <cols>
    <col min="1" max="1" width="3" customWidth="1"/>
    <col min="2" max="2" width="30" customWidth="1"/>
    <col min="3" max="3" width="14" customWidth="1"/>
    <col min="4" max="4" width="26" customWidth="1"/>
    <col min="5" max="5" width="12" customWidth="1"/>
    <col min="6" max="6" width="16" customWidth="1"/>
    <col min="7" max="7" width="14" customWidth="1"/>
    <col min="8" max="8" width="10" customWidth="1"/>
    <col min="9" max="9" width="1.5703125" customWidth="1"/>
    <col min="10" max="10" width="52" customWidth="1"/>
  </cols>
  <sheetData>
    <row r="1" spans="1:10" ht="30" customHeight="1" x14ac:dyDescent="0.25">
      <c r="A1" s="13" t="s">
        <v>97</v>
      </c>
      <c r="B1" s="13"/>
      <c r="C1" s="13"/>
      <c r="D1" s="13"/>
      <c r="E1" s="13"/>
      <c r="F1" s="13"/>
      <c r="G1" s="13"/>
      <c r="H1" s="13"/>
    </row>
    <row r="2" spans="1:10" ht="21.75" customHeight="1" x14ac:dyDescent="0.25">
      <c r="A2" s="12" t="s">
        <v>98</v>
      </c>
      <c r="B2" s="12"/>
      <c r="C2" s="12"/>
      <c r="D2" s="12"/>
      <c r="E2" s="12"/>
      <c r="F2" s="12"/>
      <c r="G2" s="12"/>
      <c r="H2" s="12"/>
    </row>
    <row r="4" spans="1:10" ht="33.75" customHeight="1" x14ac:dyDescent="0.25">
      <c r="A4" s="11" t="s">
        <v>99</v>
      </c>
      <c r="B4" s="11"/>
      <c r="C4" s="11"/>
      <c r="D4" s="11"/>
      <c r="E4" s="11"/>
      <c r="F4" s="11"/>
      <c r="G4" s="11"/>
      <c r="H4" s="11"/>
    </row>
    <row r="6" spans="1:10" ht="18" customHeight="1" x14ac:dyDescent="0.25">
      <c r="B6" s="4" t="s">
        <v>29</v>
      </c>
      <c r="C6" s="4"/>
      <c r="D6" s="3" t="s">
        <v>30</v>
      </c>
      <c r="E6" s="3"/>
      <c r="F6" s="21" t="s">
        <v>31</v>
      </c>
      <c r="G6" s="21" t="s">
        <v>32</v>
      </c>
      <c r="J6" s="22" t="s">
        <v>33</v>
      </c>
    </row>
    <row r="7" spans="1:10" ht="30" customHeight="1" x14ac:dyDescent="0.25">
      <c r="B7" s="5" t="s">
        <v>100</v>
      </c>
      <c r="C7" s="5"/>
      <c r="D7" s="2" t="s">
        <v>101</v>
      </c>
      <c r="E7" s="2"/>
      <c r="F7" s="36"/>
      <c r="G7" s="23" t="str">
        <f>IF(F7="","",IF(ISNUMBER(SEARCH("Review",F7)),"✓  Correct","✗  Try again"))</f>
        <v/>
      </c>
      <c r="J7" s="1" t="s">
        <v>102</v>
      </c>
    </row>
    <row r="8" spans="1:10" ht="30" customHeight="1" x14ac:dyDescent="0.25">
      <c r="B8" s="5" t="s">
        <v>103</v>
      </c>
      <c r="C8" s="5"/>
      <c r="D8" s="2" t="s">
        <v>104</v>
      </c>
      <c r="E8" s="2"/>
      <c r="F8" s="36"/>
      <c r="G8" s="23" t="str">
        <f>IF(F8="","",IF(ISNUMBER(SEARCH("OK",F8)),"✓  Correct","✗  Try again"))</f>
        <v/>
      </c>
      <c r="J8" s="1"/>
    </row>
    <row r="10" spans="1:10" ht="30" customHeight="1" x14ac:dyDescent="0.25">
      <c r="A10" s="34" t="s">
        <v>105</v>
      </c>
      <c r="B10" s="34"/>
      <c r="C10" s="34"/>
      <c r="D10" s="34"/>
      <c r="E10" s="34"/>
      <c r="F10" s="34"/>
      <c r="G10" s="34"/>
      <c r="H10" s="3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1">
    <mergeCell ref="A10:H10"/>
    <mergeCell ref="B7:C7"/>
    <mergeCell ref="D7:E7"/>
    <mergeCell ref="J7:J8"/>
    <mergeCell ref="B8:C8"/>
    <mergeCell ref="D8:E8"/>
    <mergeCell ref="A1:H1"/>
    <mergeCell ref="A2:H2"/>
    <mergeCell ref="A4:H4"/>
    <mergeCell ref="B6:C6"/>
    <mergeCell ref="D6:E6"/>
  </mergeCells>
  <conditionalFormatting sqref="G7:G8">
    <cfRule type="expression" dxfId="7" priority="2">
      <formula>ISNUMBER(SEARCH("Correct",G7))</formula>
    </cfRule>
    <cfRule type="expression" dxfId="6" priority="3">
      <formula>ISNUMBER(SEARCH("Try",G7))</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A1:J1000"/>
  <sheetViews>
    <sheetView showGridLines="0" zoomScaleNormal="100" workbookViewId="0">
      <selection activeCell="F7" sqref="F7:F9"/>
    </sheetView>
  </sheetViews>
  <sheetFormatPr defaultColWidth="14.42578125" defaultRowHeight="15" x14ac:dyDescent="0.25"/>
  <cols>
    <col min="1" max="1" width="3" customWidth="1"/>
    <col min="2" max="2" width="30" customWidth="1"/>
    <col min="3" max="3" width="14" customWidth="1"/>
    <col min="4" max="4" width="26" customWidth="1"/>
    <col min="5" max="5" width="12" customWidth="1"/>
    <col min="6" max="6" width="16" customWidth="1"/>
    <col min="7" max="7" width="14" customWidth="1"/>
    <col min="8" max="8" width="10" customWidth="1"/>
    <col min="9" max="9" width="1.5703125" customWidth="1"/>
    <col min="10" max="10" width="52" customWidth="1"/>
  </cols>
  <sheetData>
    <row r="1" spans="1:10" ht="30" customHeight="1" x14ac:dyDescent="0.25">
      <c r="A1" s="13" t="s">
        <v>106</v>
      </c>
      <c r="B1" s="13"/>
      <c r="C1" s="13"/>
      <c r="D1" s="13"/>
      <c r="E1" s="13"/>
      <c r="F1" s="13"/>
      <c r="G1" s="13"/>
      <c r="H1" s="13"/>
    </row>
    <row r="2" spans="1:10" ht="21.75" customHeight="1" x14ac:dyDescent="0.25">
      <c r="A2" s="12" t="s">
        <v>107</v>
      </c>
      <c r="B2" s="12"/>
      <c r="C2" s="12"/>
      <c r="D2" s="12"/>
      <c r="E2" s="12"/>
      <c r="F2" s="12"/>
      <c r="G2" s="12"/>
      <c r="H2" s="12"/>
    </row>
    <row r="4" spans="1:10" ht="33.75" customHeight="1" x14ac:dyDescent="0.25">
      <c r="A4" s="11" t="s">
        <v>108</v>
      </c>
      <c r="B4" s="11"/>
      <c r="C4" s="11"/>
      <c r="D4" s="11"/>
      <c r="E4" s="11"/>
      <c r="F4" s="11"/>
      <c r="G4" s="11"/>
      <c r="H4" s="11"/>
    </row>
    <row r="6" spans="1:10" ht="18" customHeight="1" x14ac:dyDescent="0.25">
      <c r="B6" s="4" t="s">
        <v>29</v>
      </c>
      <c r="C6" s="4"/>
      <c r="D6" s="3" t="s">
        <v>30</v>
      </c>
      <c r="E6" s="3"/>
      <c r="F6" s="21" t="s">
        <v>31</v>
      </c>
      <c r="G6" s="21" t="s">
        <v>32</v>
      </c>
      <c r="J6" s="22" t="s">
        <v>33</v>
      </c>
    </row>
    <row r="7" spans="1:10" ht="30" customHeight="1" x14ac:dyDescent="0.25">
      <c r="B7" s="5" t="s">
        <v>109</v>
      </c>
      <c r="C7" s="5"/>
      <c r="D7" s="2" t="s">
        <v>110</v>
      </c>
      <c r="E7" s="2"/>
      <c r="F7" s="36"/>
      <c r="G7" s="23" t="str">
        <f>IF(F7="","",IFERROR(IF(ABS(F7-8)&lt;0.01,"✓  Correct","✗  Try again"),"✗  Try again"))</f>
        <v/>
      </c>
      <c r="J7" s="1" t="s">
        <v>111</v>
      </c>
    </row>
    <row r="8" spans="1:10" ht="30" customHeight="1" x14ac:dyDescent="0.25">
      <c r="B8" s="5" t="s">
        <v>112</v>
      </c>
      <c r="C8" s="5"/>
      <c r="D8" s="2" t="s">
        <v>113</v>
      </c>
      <c r="E8" s="2"/>
      <c r="F8" s="36"/>
      <c r="G8" s="23" t="str">
        <f>IF(F8="","",IFERROR(IF(ABS(F8-9)&lt;0.01,"✓  Correct","✗  Try again"),"✗  Try again"))</f>
        <v/>
      </c>
      <c r="J8" s="1"/>
    </row>
    <row r="9" spans="1:10" ht="30" customHeight="1" x14ac:dyDescent="0.25">
      <c r="B9" s="5" t="s">
        <v>114</v>
      </c>
      <c r="C9" s="5"/>
      <c r="D9" s="2" t="s">
        <v>115</v>
      </c>
      <c r="E9" s="2"/>
      <c r="F9" s="36"/>
      <c r="G9" s="23" t="str">
        <f>IF(F9="","",IFERROR(IF(ABS(F9-11)&lt;0.01,"✓  Correct","✗  Try again"),"✗  Try again"))</f>
        <v/>
      </c>
      <c r="J9" s="1"/>
    </row>
    <row r="11" spans="1:10" ht="30" customHeight="1" x14ac:dyDescent="0.25">
      <c r="A11" s="34" t="s">
        <v>116</v>
      </c>
      <c r="B11" s="34"/>
      <c r="C11" s="34"/>
      <c r="D11" s="34"/>
      <c r="E11" s="34"/>
      <c r="F11" s="34"/>
      <c r="G11" s="34"/>
      <c r="H11" s="3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3">
    <mergeCell ref="A11:H11"/>
    <mergeCell ref="B7:C7"/>
    <mergeCell ref="D7:E7"/>
    <mergeCell ref="J7:J9"/>
    <mergeCell ref="B8:C8"/>
    <mergeCell ref="D8:E8"/>
    <mergeCell ref="B9:C9"/>
    <mergeCell ref="D9:E9"/>
    <mergeCell ref="A1:H1"/>
    <mergeCell ref="A2:H2"/>
    <mergeCell ref="A4:H4"/>
    <mergeCell ref="B6:C6"/>
    <mergeCell ref="D6:E6"/>
  </mergeCells>
  <conditionalFormatting sqref="G7:G9">
    <cfRule type="expression" dxfId="5" priority="2">
      <formula>ISNUMBER(SEARCH("Correct",G7))</formula>
    </cfRule>
    <cfRule type="expression" dxfId="4" priority="3">
      <formula>ISNUMBER(SEARCH("Try",G7))</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A1:J1000"/>
  <sheetViews>
    <sheetView showGridLines="0" zoomScaleNormal="100" workbookViewId="0">
      <selection activeCell="F7" sqref="F7:F10"/>
    </sheetView>
  </sheetViews>
  <sheetFormatPr defaultColWidth="14.42578125" defaultRowHeight="15" x14ac:dyDescent="0.25"/>
  <cols>
    <col min="1" max="1" width="3" customWidth="1"/>
    <col min="2" max="2" width="30" customWidth="1"/>
    <col min="3" max="3" width="14" customWidth="1"/>
    <col min="4" max="4" width="28" customWidth="1"/>
    <col min="5" max="5" width="12" customWidth="1"/>
    <col min="6" max="6" width="16" customWidth="1"/>
    <col min="7" max="7" width="14" customWidth="1"/>
    <col min="8" max="8" width="10" customWidth="1"/>
    <col min="9" max="9" width="1.5703125" customWidth="1"/>
    <col min="10" max="10" width="52" customWidth="1"/>
  </cols>
  <sheetData>
    <row r="1" spans="1:10" ht="30" customHeight="1" x14ac:dyDescent="0.25">
      <c r="A1" s="13" t="s">
        <v>117</v>
      </c>
      <c r="B1" s="13"/>
      <c r="C1" s="13"/>
      <c r="D1" s="13"/>
      <c r="E1" s="13"/>
      <c r="F1" s="13"/>
      <c r="G1" s="13"/>
      <c r="H1" s="13"/>
    </row>
    <row r="2" spans="1:10" ht="21.75" customHeight="1" x14ac:dyDescent="0.25">
      <c r="A2" s="12" t="s">
        <v>118</v>
      </c>
      <c r="B2" s="12"/>
      <c r="C2" s="12"/>
      <c r="D2" s="12"/>
      <c r="E2" s="12"/>
      <c r="F2" s="12"/>
      <c r="G2" s="12"/>
      <c r="H2" s="12"/>
    </row>
    <row r="4" spans="1:10" ht="33.75" customHeight="1" x14ac:dyDescent="0.25">
      <c r="A4" s="11" t="s">
        <v>119</v>
      </c>
      <c r="B4" s="11"/>
      <c r="C4" s="11"/>
      <c r="D4" s="11"/>
      <c r="E4" s="11"/>
      <c r="F4" s="11"/>
      <c r="G4" s="11"/>
      <c r="H4" s="11"/>
    </row>
    <row r="6" spans="1:10" ht="18" customHeight="1" x14ac:dyDescent="0.25">
      <c r="B6" s="4" t="s">
        <v>29</v>
      </c>
      <c r="C6" s="4"/>
      <c r="D6" s="3" t="s">
        <v>30</v>
      </c>
      <c r="E6" s="3"/>
      <c r="F6" s="21" t="s">
        <v>31</v>
      </c>
      <c r="G6" s="21" t="s">
        <v>32</v>
      </c>
      <c r="J6" s="22" t="s">
        <v>33</v>
      </c>
    </row>
    <row r="7" spans="1:10" ht="30" customHeight="1" x14ac:dyDescent="0.25">
      <c r="B7" s="5" t="s">
        <v>120</v>
      </c>
      <c r="C7" s="5"/>
      <c r="D7" s="2" t="s">
        <v>121</v>
      </c>
      <c r="E7" s="2"/>
      <c r="F7" s="36"/>
      <c r="G7" s="23" t="str">
        <f>IF(F7="","",IFERROR(IF(ABS(F7-375)&lt;0.01,"✓  Correct","✗  Try again"),"✗  Try again"))</f>
        <v/>
      </c>
      <c r="J7" s="1" t="s">
        <v>122</v>
      </c>
    </row>
    <row r="8" spans="1:10" ht="30" customHeight="1" x14ac:dyDescent="0.25">
      <c r="B8" s="5" t="s">
        <v>123</v>
      </c>
      <c r="C8" s="5"/>
      <c r="D8" s="2" t="s">
        <v>124</v>
      </c>
      <c r="E8" s="2"/>
      <c r="F8" s="36"/>
      <c r="G8" s="23" t="str">
        <f>IF(F8="","",IFERROR(IF(ABS(F8-514)&lt;0.01,"✓  Correct","✗  Try again"),"✗  Try again"))</f>
        <v/>
      </c>
      <c r="J8" s="1"/>
    </row>
    <row r="9" spans="1:10" ht="30" customHeight="1" x14ac:dyDescent="0.25">
      <c r="B9" s="5" t="s">
        <v>125</v>
      </c>
      <c r="C9" s="5"/>
      <c r="D9" s="2" t="s">
        <v>126</v>
      </c>
      <c r="E9" s="2"/>
      <c r="F9" s="36"/>
      <c r="G9" s="23" t="str">
        <f>IF(F9="","",IFERROR(IF(ABS(F9-41.67)&lt;0.05,"✓  Correct","✗  Try again"),"✗  Try again"))</f>
        <v/>
      </c>
      <c r="J9" s="1"/>
    </row>
    <row r="10" spans="1:10" ht="30" customHeight="1" x14ac:dyDescent="0.25">
      <c r="B10" s="5" t="s">
        <v>127</v>
      </c>
      <c r="C10" s="5"/>
      <c r="D10" s="2" t="s">
        <v>128</v>
      </c>
      <c r="E10" s="2"/>
      <c r="F10" s="36"/>
      <c r="G10" s="23" t="str">
        <f>IF(F10="","",IFERROR(IF(ABS(F10-64.25)&lt;0.01,"✓  Correct","✗  Try again"),"✗  Try again"))</f>
        <v/>
      </c>
      <c r="J10" s="1"/>
    </row>
    <row r="12" spans="1:10" ht="15" customHeight="1" x14ac:dyDescent="0.25">
      <c r="B12" s="7" t="s">
        <v>129</v>
      </c>
      <c r="C12" s="7"/>
      <c r="D12" s="7"/>
      <c r="E12" s="7"/>
      <c r="F12" s="7"/>
      <c r="G12" s="7"/>
      <c r="H12" s="7"/>
    </row>
    <row r="13" spans="1:10" ht="15" customHeight="1" x14ac:dyDescent="0.25">
      <c r="B13" s="7"/>
      <c r="C13" s="7"/>
      <c r="D13" s="7"/>
      <c r="E13" s="7"/>
      <c r="F13" s="7"/>
      <c r="G13" s="7"/>
      <c r="H13" s="7"/>
    </row>
    <row r="14" spans="1:10" ht="15" customHeight="1" x14ac:dyDescent="0.25">
      <c r="B14" s="7"/>
      <c r="C14" s="7"/>
      <c r="D14" s="7"/>
      <c r="E14" s="7"/>
      <c r="F14" s="7"/>
      <c r="G14" s="7"/>
      <c r="H14" s="7"/>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5">
    <mergeCell ref="B12:H14"/>
    <mergeCell ref="B7:C7"/>
    <mergeCell ref="D7:E7"/>
    <mergeCell ref="J7:J10"/>
    <mergeCell ref="B8:C8"/>
    <mergeCell ref="D8:E8"/>
    <mergeCell ref="B9:C9"/>
    <mergeCell ref="D9:E9"/>
    <mergeCell ref="B10:C10"/>
    <mergeCell ref="D10:E10"/>
    <mergeCell ref="A1:H1"/>
    <mergeCell ref="A2:H2"/>
    <mergeCell ref="A4:H4"/>
    <mergeCell ref="B6:C6"/>
    <mergeCell ref="D6:E6"/>
  </mergeCells>
  <conditionalFormatting sqref="G7:G10">
    <cfRule type="expression" dxfId="3" priority="2">
      <formula>ISNUMBER(SEARCH("Correct",G7))</formula>
    </cfRule>
    <cfRule type="expression" dxfId="2" priority="3">
      <formula>ISNUMBER(SEARCH("Try",G7))</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48235"/>
  </sheetPr>
  <dimension ref="A1:C1000"/>
  <sheetViews>
    <sheetView showGridLines="0" zoomScaleNormal="100" workbookViewId="0">
      <selection sqref="A1:C1"/>
    </sheetView>
  </sheetViews>
  <sheetFormatPr defaultColWidth="14.42578125" defaultRowHeight="15" x14ac:dyDescent="0.25"/>
  <cols>
    <col min="1" max="1" width="3" customWidth="1"/>
    <col min="2" max="2" width="24" customWidth="1"/>
    <col min="3" max="3" width="72" customWidth="1"/>
    <col min="4" max="8" width="8.7109375" customWidth="1"/>
  </cols>
  <sheetData>
    <row r="1" spans="1:3" ht="30" customHeight="1" x14ac:dyDescent="0.25">
      <c r="A1" s="13" t="s">
        <v>130</v>
      </c>
      <c r="B1" s="13"/>
      <c r="C1" s="13"/>
    </row>
    <row r="2" spans="1:3" ht="21.75" customHeight="1" x14ac:dyDescent="0.25">
      <c r="A2" s="12" t="s">
        <v>131</v>
      </c>
      <c r="B2" s="12"/>
      <c r="C2" s="12"/>
    </row>
    <row r="4" spans="1:3" ht="39.75" customHeight="1" x14ac:dyDescent="0.25">
      <c r="B4" s="31" t="s">
        <v>132</v>
      </c>
      <c r="C4" s="32" t="s">
        <v>133</v>
      </c>
    </row>
    <row r="5" spans="1:3" ht="39.75" customHeight="1" x14ac:dyDescent="0.25">
      <c r="B5" s="31" t="s">
        <v>134</v>
      </c>
      <c r="C5" s="32" t="s">
        <v>135</v>
      </c>
    </row>
    <row r="6" spans="1:3" ht="39.75" customHeight="1" x14ac:dyDescent="0.25">
      <c r="B6" s="31" t="s">
        <v>136</v>
      </c>
      <c r="C6" s="32" t="s">
        <v>137</v>
      </c>
    </row>
    <row r="7" spans="1:3" ht="39.75" customHeight="1" x14ac:dyDescent="0.25">
      <c r="B7" s="31" t="s">
        <v>138</v>
      </c>
      <c r="C7" s="32" t="s">
        <v>139</v>
      </c>
    </row>
    <row r="8" spans="1:3" ht="39.75" customHeight="1" x14ac:dyDescent="0.25">
      <c r="B8" s="31" t="s">
        <v>140</v>
      </c>
      <c r="C8" s="32" t="s">
        <v>141</v>
      </c>
    </row>
    <row r="9" spans="1:3" ht="39.75" customHeight="1" x14ac:dyDescent="0.25">
      <c r="B9" s="31" t="s">
        <v>142</v>
      </c>
      <c r="C9" s="32" t="s">
        <v>143</v>
      </c>
    </row>
    <row r="10" spans="1:3" ht="39.75" customHeight="1" x14ac:dyDescent="0.25">
      <c r="B10" s="31" t="s">
        <v>144</v>
      </c>
      <c r="C10" s="32" t="s">
        <v>145</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2">
    <mergeCell ref="A1:C1"/>
    <mergeCell ref="A2:C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J1000"/>
  <sheetViews>
    <sheetView showGridLines="0" zoomScaleNormal="100" workbookViewId="0">
      <selection activeCell="E11" activeCellId="1" sqref="F7:F8 E11:H13"/>
    </sheetView>
  </sheetViews>
  <sheetFormatPr defaultColWidth="14.42578125" defaultRowHeight="15" x14ac:dyDescent="0.25"/>
  <cols>
    <col min="1" max="1" width="3" customWidth="1"/>
    <col min="2" max="2" width="30" customWidth="1"/>
    <col min="3" max="3" width="14" customWidth="1"/>
    <col min="4" max="4" width="28" customWidth="1"/>
    <col min="5" max="5" width="12" customWidth="1"/>
    <col min="6" max="6" width="16" customWidth="1"/>
    <col min="7" max="7" width="14" customWidth="1"/>
    <col min="8" max="8" width="10" customWidth="1"/>
    <col min="9" max="9" width="1.5703125" customWidth="1"/>
    <col min="10" max="10" width="52" customWidth="1"/>
  </cols>
  <sheetData>
    <row r="1" spans="1:10" ht="30" customHeight="1" x14ac:dyDescent="0.25">
      <c r="A1" s="13" t="s">
        <v>146</v>
      </c>
      <c r="B1" s="13"/>
      <c r="C1" s="13"/>
      <c r="D1" s="13"/>
      <c r="E1" s="13"/>
      <c r="F1" s="13"/>
      <c r="G1" s="13"/>
      <c r="H1" s="13"/>
    </row>
    <row r="2" spans="1:10" ht="21.75" customHeight="1" x14ac:dyDescent="0.25">
      <c r="A2" s="12" t="s">
        <v>147</v>
      </c>
      <c r="B2" s="12"/>
      <c r="C2" s="12"/>
      <c r="D2" s="12"/>
      <c r="E2" s="12"/>
      <c r="F2" s="12"/>
      <c r="G2" s="12"/>
      <c r="H2" s="12"/>
    </row>
    <row r="4" spans="1:10" ht="27.75" customHeight="1" x14ac:dyDescent="0.25">
      <c r="A4" s="11" t="s">
        <v>148</v>
      </c>
      <c r="B4" s="11"/>
      <c r="C4" s="11"/>
      <c r="D4" s="11"/>
      <c r="E4" s="11"/>
      <c r="F4" s="11"/>
      <c r="G4" s="11"/>
      <c r="H4" s="11"/>
    </row>
    <row r="6" spans="1:10" ht="18" customHeight="1" x14ac:dyDescent="0.25">
      <c r="B6" s="4" t="s">
        <v>29</v>
      </c>
      <c r="C6" s="4"/>
      <c r="D6" s="3" t="s">
        <v>30</v>
      </c>
      <c r="E6" s="3"/>
      <c r="F6" s="21" t="s">
        <v>31</v>
      </c>
      <c r="G6" s="21" t="s">
        <v>32</v>
      </c>
      <c r="J6" s="22" t="s">
        <v>33</v>
      </c>
    </row>
    <row r="7" spans="1:10" ht="30" customHeight="1" x14ac:dyDescent="0.25">
      <c r="B7" s="5" t="s">
        <v>149</v>
      </c>
      <c r="C7" s="5"/>
      <c r="D7" s="2" t="s">
        <v>150</v>
      </c>
      <c r="E7" s="2"/>
      <c r="F7" s="36"/>
      <c r="G7" s="23" t="str">
        <f>IF(F7="","",IFERROR(IF(ABS(F7-1)&lt;0.01,"✓  Correct","✗  Try again"),"✗  Try again"))</f>
        <v/>
      </c>
      <c r="J7" s="1" t="s">
        <v>151</v>
      </c>
    </row>
    <row r="8" spans="1:10" ht="30" customHeight="1" x14ac:dyDescent="0.25">
      <c r="B8" s="5" t="s">
        <v>152</v>
      </c>
      <c r="C8" s="5"/>
      <c r="D8" s="2" t="s">
        <v>153</v>
      </c>
      <c r="E8" s="2"/>
      <c r="F8" s="36"/>
      <c r="G8" s="23" t="str">
        <f>IF(F8="","",IFERROR(IF(ABS(F8-164)&lt;0.01,"✓  Correct","✗  Try again"),"✗  Try again"))</f>
        <v/>
      </c>
      <c r="J8" s="1"/>
    </row>
    <row r="10" spans="1:10" ht="24" customHeight="1" x14ac:dyDescent="0.25">
      <c r="A10" s="10" t="s">
        <v>154</v>
      </c>
      <c r="B10" s="10"/>
      <c r="C10" s="10"/>
      <c r="D10" s="10"/>
      <c r="E10" s="10"/>
      <c r="F10" s="10"/>
      <c r="G10" s="10"/>
      <c r="H10" s="10"/>
    </row>
    <row r="11" spans="1:10" ht="42" customHeight="1" x14ac:dyDescent="0.25">
      <c r="B11" s="5" t="s">
        <v>155</v>
      </c>
      <c r="C11" s="5"/>
      <c r="D11" s="5"/>
      <c r="E11" s="37"/>
      <c r="F11" s="37"/>
      <c r="G11" s="37"/>
      <c r="H11" s="37"/>
    </row>
    <row r="12" spans="1:10" ht="42" customHeight="1" x14ac:dyDescent="0.25">
      <c r="B12" s="5" t="s">
        <v>156</v>
      </c>
      <c r="C12" s="5"/>
      <c r="D12" s="5"/>
      <c r="E12" s="37"/>
      <c r="F12" s="37"/>
      <c r="G12" s="37"/>
      <c r="H12" s="37"/>
    </row>
    <row r="13" spans="1:10" ht="42" customHeight="1" x14ac:dyDescent="0.25">
      <c r="B13" s="5" t="s">
        <v>157</v>
      </c>
      <c r="C13" s="5"/>
      <c r="D13" s="5"/>
      <c r="E13" s="37"/>
      <c r="F13" s="37"/>
      <c r="G13" s="37"/>
      <c r="H13" s="37"/>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7">
    <mergeCell ref="B13:D13"/>
    <mergeCell ref="E13:H13"/>
    <mergeCell ref="A10:H10"/>
    <mergeCell ref="B11:D11"/>
    <mergeCell ref="E11:H11"/>
    <mergeCell ref="B12:D12"/>
    <mergeCell ref="E12:H12"/>
    <mergeCell ref="B7:C7"/>
    <mergeCell ref="D7:E7"/>
    <mergeCell ref="J7:J8"/>
    <mergeCell ref="B8:C8"/>
    <mergeCell ref="D8:E8"/>
    <mergeCell ref="A1:H1"/>
    <mergeCell ref="A2:H2"/>
    <mergeCell ref="A4:H4"/>
    <mergeCell ref="B6:C6"/>
    <mergeCell ref="D6:E6"/>
  </mergeCells>
  <conditionalFormatting sqref="G7:G8">
    <cfRule type="expression" dxfId="1" priority="2">
      <formula>ISNUMBER(SEARCH("Correct",G7))</formula>
    </cfRule>
    <cfRule type="expression" dxfId="0" priority="3">
      <formula>ISNUMBER(SEARCH("Try",G7))</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F8F00"/>
  </sheetPr>
  <dimension ref="A1:V1000"/>
  <sheetViews>
    <sheetView showGridLines="0" zoomScaleNormal="100" workbookViewId="0">
      <selection activeCell="E15" activeCellId="1" sqref="C6:C10 E15:E18"/>
    </sheetView>
  </sheetViews>
  <sheetFormatPr defaultColWidth="14.42578125" defaultRowHeight="15" x14ac:dyDescent="0.25"/>
  <cols>
    <col min="1" max="1" width="3" customWidth="1"/>
    <col min="2" max="2" width="50" customWidth="1"/>
    <col min="3" max="5" width="16" customWidth="1"/>
    <col min="6" max="6" width="37.7109375" customWidth="1"/>
    <col min="7" max="8" width="8.7109375" customWidth="1"/>
    <col min="10" max="22" width="3.42578125" customWidth="1"/>
  </cols>
  <sheetData>
    <row r="1" spans="1:22" ht="30" customHeight="1" x14ac:dyDescent="0.25">
      <c r="A1" s="13" t="s">
        <v>158</v>
      </c>
      <c r="B1" s="13"/>
      <c r="C1" s="13"/>
      <c r="D1" s="13"/>
      <c r="E1" s="13"/>
      <c r="F1" s="13"/>
      <c r="J1" s="14" t="s">
        <v>1</v>
      </c>
    </row>
    <row r="2" spans="1:22" ht="21.75" customHeight="1" x14ac:dyDescent="0.25">
      <c r="A2" s="12" t="s">
        <v>159</v>
      </c>
      <c r="B2" s="12"/>
      <c r="C2" s="12"/>
      <c r="D2" s="12"/>
      <c r="E2" s="12"/>
      <c r="F2" s="12"/>
      <c r="J2" s="15">
        <v>1</v>
      </c>
      <c r="K2" s="15">
        <v>2</v>
      </c>
      <c r="L2" s="15">
        <v>3</v>
      </c>
      <c r="M2" s="15">
        <v>4</v>
      </c>
      <c r="N2" s="15">
        <v>5</v>
      </c>
      <c r="O2" s="15">
        <v>6</v>
      </c>
      <c r="P2" s="15">
        <v>7</v>
      </c>
      <c r="Q2" s="16">
        <v>8</v>
      </c>
      <c r="R2" s="15">
        <v>9</v>
      </c>
      <c r="S2" s="15">
        <v>10</v>
      </c>
      <c r="T2" s="15">
        <v>11</v>
      </c>
      <c r="U2" s="15">
        <v>12</v>
      </c>
      <c r="V2" s="15">
        <v>13</v>
      </c>
    </row>
    <row r="4" spans="1:22" ht="24" customHeight="1" x14ac:dyDescent="0.25">
      <c r="A4" s="10" t="s">
        <v>160</v>
      </c>
      <c r="B4" s="10"/>
      <c r="C4" s="10"/>
      <c r="D4" s="10"/>
      <c r="E4" s="10"/>
      <c r="F4" s="10"/>
      <c r="G4" s="10"/>
      <c r="H4" s="10"/>
    </row>
    <row r="5" spans="1:22" ht="18" customHeight="1" x14ac:dyDescent="0.25">
      <c r="A5" s="11" t="s">
        <v>161</v>
      </c>
      <c r="B5" s="11"/>
      <c r="C5" s="11"/>
      <c r="D5" s="11"/>
      <c r="E5" s="11"/>
      <c r="F5" s="11"/>
      <c r="G5" s="11"/>
      <c r="H5" s="11"/>
    </row>
    <row r="6" spans="1:22" ht="24" customHeight="1" x14ac:dyDescent="0.25">
      <c r="C6" s="36"/>
      <c r="D6" s="5" t="s">
        <v>17</v>
      </c>
      <c r="E6" s="5"/>
      <c r="F6" s="5"/>
    </row>
    <row r="7" spans="1:22" ht="24" customHeight="1" x14ac:dyDescent="0.25">
      <c r="C7" s="36"/>
      <c r="D7" s="5" t="s">
        <v>162</v>
      </c>
      <c r="E7" s="5"/>
      <c r="F7" s="5"/>
    </row>
    <row r="8" spans="1:22" ht="24" customHeight="1" x14ac:dyDescent="0.25">
      <c r="C8" s="36"/>
      <c r="D8" s="5" t="s">
        <v>19</v>
      </c>
      <c r="E8" s="5"/>
      <c r="F8" s="5"/>
    </row>
    <row r="9" spans="1:22" ht="24" customHeight="1" x14ac:dyDescent="0.25">
      <c r="C9" s="36"/>
      <c r="D9" s="5" t="s">
        <v>163</v>
      </c>
      <c r="E9" s="5"/>
      <c r="F9" s="5"/>
    </row>
    <row r="10" spans="1:22" ht="24" customHeight="1" x14ac:dyDescent="0.25">
      <c r="C10" s="36"/>
      <c r="D10" s="5" t="s">
        <v>164</v>
      </c>
      <c r="E10" s="5"/>
      <c r="F10" s="5"/>
    </row>
    <row r="12" spans="1:22" ht="24" customHeight="1" x14ac:dyDescent="0.25">
      <c r="A12" s="10" t="s">
        <v>165</v>
      </c>
      <c r="B12" s="10"/>
      <c r="C12" s="10"/>
      <c r="D12" s="10"/>
      <c r="E12" s="10"/>
      <c r="F12" s="10"/>
      <c r="G12" s="10"/>
      <c r="H12" s="10"/>
    </row>
    <row r="13" spans="1:22" ht="18" customHeight="1" x14ac:dyDescent="0.25">
      <c r="A13" s="11" t="s">
        <v>166</v>
      </c>
      <c r="B13" s="11"/>
      <c r="C13" s="11"/>
      <c r="D13" s="11"/>
      <c r="E13" s="11"/>
      <c r="F13" s="11"/>
      <c r="G13" s="11"/>
      <c r="H13" s="11"/>
    </row>
    <row r="14" spans="1:22" ht="18" customHeight="1" x14ac:dyDescent="0.25">
      <c r="B14" s="6" t="s">
        <v>15</v>
      </c>
      <c r="C14" s="6"/>
      <c r="D14" s="6"/>
      <c r="E14" s="17" t="s">
        <v>167</v>
      </c>
    </row>
    <row r="15" spans="1:22" ht="21.75" customHeight="1" x14ac:dyDescent="0.25">
      <c r="B15" s="5" t="s">
        <v>17</v>
      </c>
      <c r="C15" s="5"/>
      <c r="D15" s="5"/>
      <c r="E15" s="36"/>
    </row>
    <row r="16" spans="1:22" ht="21.75" customHeight="1" x14ac:dyDescent="0.25">
      <c r="B16" s="5" t="s">
        <v>18</v>
      </c>
      <c r="C16" s="5"/>
      <c r="D16" s="5"/>
      <c r="E16" s="36"/>
    </row>
    <row r="17" spans="2:6" ht="21.75" customHeight="1" x14ac:dyDescent="0.25">
      <c r="B17" s="5" t="s">
        <v>19</v>
      </c>
      <c r="C17" s="5"/>
      <c r="D17" s="5"/>
      <c r="E17" s="36"/>
    </row>
    <row r="18" spans="2:6" ht="21.75" customHeight="1" x14ac:dyDescent="0.25">
      <c r="B18" s="5" t="s">
        <v>20</v>
      </c>
      <c r="C18" s="5"/>
      <c r="D18" s="5"/>
      <c r="E18" s="36"/>
    </row>
    <row r="20" spans="2:6" ht="15" customHeight="1" x14ac:dyDescent="0.25">
      <c r="B20" s="7" t="s">
        <v>168</v>
      </c>
      <c r="C20" s="7"/>
      <c r="D20" s="7"/>
      <c r="E20" s="7"/>
      <c r="F20" s="7"/>
    </row>
    <row r="21" spans="2:6" ht="15.75" customHeight="1" x14ac:dyDescent="0.25">
      <c r="B21" s="7"/>
      <c r="C21" s="7"/>
      <c r="D21" s="7"/>
      <c r="E21" s="7"/>
      <c r="F21" s="7"/>
    </row>
    <row r="22" spans="2:6" ht="15.75" customHeight="1" x14ac:dyDescent="0.25">
      <c r="B22" s="7"/>
      <c r="C22" s="7"/>
      <c r="D22" s="7"/>
      <c r="E22" s="7"/>
      <c r="F22" s="7"/>
    </row>
    <row r="23" spans="2:6" ht="15.75" customHeight="1" x14ac:dyDescent="0.25"/>
    <row r="24" spans="2:6" ht="15.75" customHeight="1" x14ac:dyDescent="0.25"/>
    <row r="25" spans="2:6" ht="15.75" customHeight="1" x14ac:dyDescent="0.25"/>
    <row r="26" spans="2:6" ht="15.75" customHeight="1" x14ac:dyDescent="0.25"/>
    <row r="27" spans="2:6" ht="15.75" customHeight="1" x14ac:dyDescent="0.25"/>
    <row r="28" spans="2:6" ht="15.75" customHeight="1" x14ac:dyDescent="0.25"/>
    <row r="29" spans="2:6" ht="15.75" customHeight="1" x14ac:dyDescent="0.25"/>
    <row r="30" spans="2:6" ht="15.75" customHeight="1" x14ac:dyDescent="0.25"/>
    <row r="31" spans="2:6" ht="15.75" customHeight="1" x14ac:dyDescent="0.25"/>
    <row r="32" spans="2: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7">
    <mergeCell ref="B18:D18"/>
    <mergeCell ref="B20:F22"/>
    <mergeCell ref="A13:H13"/>
    <mergeCell ref="B14:D14"/>
    <mergeCell ref="B15:D15"/>
    <mergeCell ref="B16:D16"/>
    <mergeCell ref="B17:D17"/>
    <mergeCell ref="D7:F7"/>
    <mergeCell ref="D8:F8"/>
    <mergeCell ref="D9:F9"/>
    <mergeCell ref="D10:F10"/>
    <mergeCell ref="A12:H12"/>
    <mergeCell ref="A1:F1"/>
    <mergeCell ref="A2:F2"/>
    <mergeCell ref="A4:H4"/>
    <mergeCell ref="A5:H5"/>
    <mergeCell ref="D6:F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Start Here</vt:lpstr>
      <vt:lpstr>Warm-up</vt:lpstr>
      <vt:lpstr>Club Data</vt:lpstr>
      <vt:lpstr>Task 1 - IF (flag a row)</vt:lpstr>
      <vt:lpstr>Task 2 - COUNTIF</vt:lpstr>
      <vt:lpstr>Task 3 - SUMIF &amp; AVERAGEIF</vt:lpstr>
      <vt:lpstr>Support</vt:lpstr>
      <vt:lpstr>Stretch</vt:lpstr>
      <vt:lpstr>Confidence &amp; Next 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Michael Chittenden</cp:lastModifiedBy>
  <cp:revision>0</cp:revision>
  <dcterms:created xsi:type="dcterms:W3CDTF">2026-06-10T13:07:30Z</dcterms:created>
  <dcterms:modified xsi:type="dcterms:W3CDTF">2026-06-22T21:25:39Z</dcterms:modified>
  <dc:language>en-US</dc:language>
</cp:coreProperties>
</file>