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Downloads\CHECKED\"/>
    </mc:Choice>
  </mc:AlternateContent>
  <xr:revisionPtr revIDLastSave="0" documentId="8_{5DF39FB5-764F-429A-B27D-8C935B63D7F4}" xr6:coauthVersionLast="47" xr6:coauthVersionMax="47" xr10:uidLastSave="{00000000-0000-0000-0000-000000000000}"/>
  <bookViews>
    <workbookView xWindow="28680" yWindow="-120" windowWidth="29040" windowHeight="17520" tabRatio="873" firstSheet="3" activeTab="6" xr2:uid="{00000000-000D-0000-FFFF-FFFF00000000}"/>
  </bookViews>
  <sheets>
    <sheet name="Start Here" sheetId="1" r:id="rId1"/>
    <sheet name="Power Query - First Look" sheetId="2" r:id="rId2"/>
    <sheet name="Task 1 - Data Types" sheetId="3" r:id="rId3"/>
    <sheet name="Task 2 - Rename" sheetId="4" r:id="rId4"/>
    <sheet name="Task 3 - Remove Columns" sheetId="5" r:id="rId5"/>
    <sheet name="Task 4 - Replace Values" sheetId="6" r:id="rId6"/>
    <sheet name="Task 5 - Handle Nulls" sheetId="7" r:id="rId7"/>
    <sheet name="Task 6 - Remove Duplicates" sheetId="8" r:id="rId8"/>
    <sheet name="Support" sheetId="9" r:id="rId9"/>
    <sheet name="Rescue - If It Goes Wrong" sheetId="10" r:id="rId10"/>
    <sheet name="Stretch" sheetId="11" r:id="rId11"/>
    <sheet name="Confidence &amp; Next Steps"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4" i="11" l="1"/>
  <c r="G18" i="8"/>
  <c r="G19" i="7"/>
  <c r="G18" i="7"/>
  <c r="G18" i="6"/>
  <c r="G17" i="5"/>
  <c r="G21" i="3"/>
  <c r="G20" i="3"/>
  <c r="G19" i="3"/>
</calcChain>
</file>

<file path=xl/sharedStrings.xml><?xml version="1.0" encoding="utf-8"?>
<sst xmlns="http://schemas.openxmlformats.org/spreadsheetml/2006/main" count="243" uniqueCount="209">
  <si>
    <t>Module 3  -  Cleaning Data</t>
  </si>
  <si>
    <t>YOUR JOURNEY</t>
  </si>
  <si>
    <t>Make the imported data correct and trustworthy, using Power Query  -  Self-paced</t>
  </si>
  <si>
    <t>In Module 2 you imported three connections. Raw data almost always has problems: the wrong data types, messy column names, columns you don't need, mistyped values, blanks (nulls), and duplicates. Cleaning fixes these BEFORE you do anything else - you never build analysis on dirty data. You'll do it all in Power Query, and nothing changes the original files.</t>
  </si>
  <si>
    <t>What you'll learn to do (in order)</t>
  </si>
  <si>
    <t>•  Set data types: tell Excel each column is text, a number, or a date.</t>
  </si>
  <si>
    <t>•  Rename columns: give columns clear, consistent names.</t>
  </si>
  <si>
    <t>•  Remove columns: drop fields you don't need.</t>
  </si>
  <si>
    <t>•  Replace values: fix mistyped entries.</t>
  </si>
  <si>
    <t>•  Handle nulls: decide what to do with blank cells.</t>
  </si>
  <si>
    <t>•  Remove duplicates: get rid of records entered twice.</t>
  </si>
  <si>
    <t>New to Power Query? Start with the next tab</t>
  </si>
  <si>
    <t>If you've never opened Power Query, do NOT skip the 'Power Query - First Look' tab. It shows you how to open the editor and what every part of the window is for. Take your time there - the rest of the module assumes you know your way around it.</t>
  </si>
  <si>
    <t>Before you start - cleaning is calm, careful work</t>
  </si>
  <si>
    <t>There's no rush here and nothing to break. Every action you take is recorded as a step you can undo with one click, and your original files are never touched. Work through one task at a time. Breathe (in 4, hold 4, out 6). If something looks wrong, you remove the step and try again - that's normal, not failure.</t>
  </si>
  <si>
    <t>Your confidence baseline  (1 = not yet, 5 = confident)</t>
  </si>
  <si>
    <t>Statement</t>
  </si>
  <si>
    <t>Rating (1-5)</t>
  </si>
  <si>
    <t>I can open the Power Query Editor and find my way around it</t>
  </si>
  <si>
    <t>I can set the correct data type on a column</t>
  </si>
  <si>
    <t>I can rename and remove columns</t>
  </si>
  <si>
    <t>I can replace wrong values, and handle blanks and duplicates</t>
  </si>
  <si>
    <t>Power Query - First Look</t>
  </si>
  <si>
    <t>Open the editor and learn the window before you clean anything</t>
  </si>
  <si>
    <t>Power Query is a built-in Excel tool for changing data step by step. You don't write code - you click menus, and Excel records each action. Let's open it and look around.</t>
  </si>
  <si>
    <t>1) How to open the Power Query Editor</t>
  </si>
  <si>
    <t>①  Go to the Data tab on the Excel ribbon.</t>
  </si>
  <si>
    <t>②  Click 'Queries &amp; Connections' - a panel opens on the right listing your three connections (Members, Bookings, Payments).</t>
  </si>
  <si>
    <t>③  Right-click the query you want (e.g. Members) and choose 'Edit'. (Double-clicking the query name does the same thing.)</t>
  </si>
  <si>
    <t>④  The Power Query Editor opens in its own window. This is where all your cleaning happens.</t>
  </si>
  <si>
    <t>2) The five parts of the window</t>
  </si>
  <si>
    <t>The Ribbon (top)</t>
  </si>
  <si>
    <t>Tabs of tools. The ones you'll use most: HOME (manage rows/columns, Close &amp; Load), TRANSFORM (change EXISTING columns - data type, split, fill, replace, format), ADD COLUMN (make NEW columns), VIEW (turn the formula bar on/off).</t>
  </si>
  <si>
    <t>Queries pane (left)</t>
  </si>
  <si>
    <t>A list of all your queries. Click one to work on it.</t>
  </si>
  <si>
    <t>Data Preview (centre)</t>
  </si>
  <si>
    <t>A sample of your data. Each column heading has a small ICON on its left showing its data type (ABC = text, 123 = number, a calendar = date).</t>
  </si>
  <si>
    <t>Query Settings (right)</t>
  </si>
  <si>
    <t>Shows the query's name, and APPLIED STEPS - the recorded list of everything you've done. This is the most important part to understand.</t>
  </si>
  <si>
    <t>Formula bar (under the ribbon)</t>
  </si>
  <si>
    <t>Shows the behind-the-scenes code for the selected step. If you can't see it, turn it on with View &gt; Formula Bar. You don't need to edit it.</t>
  </si>
  <si>
    <t>3) Applied Steps - your safety net</t>
  </si>
  <si>
    <t>①  Every action you take adds a line to APPLIED STEPS on the right.</t>
  </si>
  <si>
    <t>②  Click any step to see what the data looked like at that point.</t>
  </si>
  <si>
    <t>③  To undo just one action, click the small X next to that step - the rest stay. You never have to start over.</t>
  </si>
  <si>
    <t>④  Because your edits are only recorded here, the original Members.xlsx, Bookings.pdf and Payments.csv are never changed.</t>
  </si>
  <si>
    <t>4) When you're finished cleaning a query</t>
  </si>
  <si>
    <t>①  Home tab &gt; 'Close &amp; Load' drop-down &gt; 'Close &amp; Load To...'.</t>
  </si>
  <si>
    <t>②  Choose 'Only Create Connection' (the same choice you made in Module 2), then OK.</t>
  </si>
  <si>
    <t>③  You return to Excel. Your cleaned query is saved as a connection, ready for the next module.</t>
  </si>
  <si>
    <t>Task 1 - Set the data types</t>
  </si>
  <si>
    <t>Members, Bookings &amp; Payments  -  tell Excel what each column IS</t>
  </si>
  <si>
    <t>When data is imported (especially from a PDF or CSV), Excel often treats everything as plain text - or guesses wrongly. If a date is stored as text you can't sort or filter by it; if a number is text you can't add it up. So the first cleaning job is always to set each column to its correct type. The type icon sits to the LEFT of each column heading.</t>
  </si>
  <si>
    <t>Step by step</t>
  </si>
  <si>
    <t>①  Open the Members query (right-click &gt; Edit) if it isn't already open.</t>
  </si>
  <si>
    <t>②  Click the small type ICON to the left of the JoinDate heading (it may show ABC for text).</t>
  </si>
  <si>
    <t>③  Choose 'Date' from the list. The column should now show proper dates. (If it shows Error, the values came in as numbers — see the Rescue tab: re-set the type, or use Using Locale &gt; English (UK).)</t>
  </si>
  <si>
    <t>④  Do the same for each column: MemberID = Whole Number, MembershipType and Email and MemberName = Text.</t>
  </si>
  <si>
    <t>⑤  Now open the Payments query. Set Amount = Decimal Number, Date = Date, PaymentID and MemberID = Whole Number.</t>
  </si>
  <si>
    <t>⑥  Open the Bookings query. Set DurationMins = Whole Number and Date = Date.</t>
  </si>
  <si>
    <t>⑦  Watch Applied Steps - each type change is recorded as a 'Changed Type' step.</t>
  </si>
  <si>
    <t>Check it (type your answer; the cell turns green or red)</t>
  </si>
  <si>
    <t>Question</t>
  </si>
  <si>
    <t>Your answer</t>
  </si>
  <si>
    <t>Check</t>
  </si>
  <si>
    <t>💡 Hints — try before you peek</t>
  </si>
  <si>
    <t>After you set it, what data type should the JoinDate column be?</t>
  </si>
  <si>
    <t>The icon left of the heading gives it away: a calendar means Date.</t>
  </si>
  <si>
    <t>Whole number or decimal for the Amount column (money values)?</t>
  </si>
  <si>
    <t>Money is stored as Decimal so it can hold pennies if they ever occur — which type allows a decimal point?</t>
  </si>
  <si>
    <t>What type should DurationMins be?</t>
  </si>
  <si>
    <t>Minutes are counted, never fractional, in this data.</t>
  </si>
  <si>
    <t>💡  Why it matters: types control what you can do. Dates let you sort by time; numbers let you total and average; text stops Excel mangling things like IDs. Get types right first and everything later behaves.</t>
  </si>
  <si>
    <t>Task 2 - Rename columns</t>
  </si>
  <si>
    <t>Clear, consistent names make everything easier</t>
  </si>
  <si>
    <t>Imported columns often have awkward or unclear names. Renaming them now means every later step - and every other person who opens this - understands the data. Renaming does not change the data, only the heading.</t>
  </si>
  <si>
    <t>①  In the Members query, double-click the 'MemberName' heading.</t>
  </si>
  <si>
    <t>②  Type a clearer name, e.g. 'Full Name', and press Enter.</t>
  </si>
  <si>
    <t>③  Rename any other unclear headings the same way (for example 'DurationMins' in Bookings to 'Duration (mins)').</t>
  </si>
  <si>
    <t>④  Keep names short, consistent, and free of odd characters.</t>
  </si>
  <si>
    <t>⑤  Each rename appears in Applied Steps as a 'Renamed Columns' step - you can undo it if you change your mind.</t>
  </si>
  <si>
    <t>Tick each step as you complete it (type x)</t>
  </si>
  <si>
    <t>Renamed at least one column by double-clicking its heading</t>
  </si>
  <si>
    <t>Used clear, consistent names</t>
  </si>
  <si>
    <t>Saw the 'Renamed Columns' step appear in Applied Steps</t>
  </si>
  <si>
    <t>💡  Tip: you can also rename via Transform &gt; Rename, but double-clicking the heading is quickest.</t>
  </si>
  <si>
    <t>Task 3 - Remove columns you don't need</t>
  </si>
  <si>
    <t>Payments  -  drop the 'ExportRef' column</t>
  </si>
  <si>
    <t>The Payments file has an 'ExportRef' column - a leftover tag from the system that exported it (every row just says EXP-JAN24). It adds nothing, so remove it. Removing a column you don't need keeps the data tidy and focused.</t>
  </si>
  <si>
    <t>①  Open the Payments query (right-click &gt; Edit).</t>
  </si>
  <si>
    <t>After removing ExportRef, how many columns does the Payments query have?</t>
  </si>
  <si>
    <t>Count the headings left in the preview — or reason it: 7 columns minus the 1 you removed.</t>
  </si>
  <si>
    <t>💡  Careful: in the Choose Columns dialog, UNticking a column removes it; leave the others ticked. (If you instead use the ribbon, 'Remove Columns' drops the selected ones, while 'Remove Other Columns' keeps only those — read which you click.)</t>
  </si>
  <si>
    <t>Task 4 - Replace wrong values</t>
  </si>
  <si>
    <t>Members  -  fix the 'Aduit' typo</t>
  </si>
  <si>
    <t>One member's MembershipType is misspelt 'Aduit' instead of 'Adult'. A single wrong value like this throws off any grouping or counting later. 'Replace Values' swaps every matching entry in a column in one go.</t>
  </si>
  <si>
    <t>①  Open the Members query and click the 'MembershipType' column heading to select it.</t>
  </si>
  <si>
    <t>②  Go to Transform &gt; Replace Values (or right-click the heading &gt; Replace Values).</t>
  </si>
  <si>
    <t>③  In 'Value To Find' type:  Aduit</t>
  </si>
  <si>
    <t>④  In 'Replace With' type:  Adult</t>
  </si>
  <si>
    <t>⑤  Click OK. Every 'Aduit' becomes 'Adult'. A 'Replaced Value' step is added.</t>
  </si>
  <si>
    <t>⑥  Scan the column to confirm only the four valid types remain (Adult, Family, Junior, Senior).</t>
  </si>
  <si>
    <t>After the replace, how many members have membership type 'Adult'?</t>
  </si>
  <si>
    <t>Click the MembershipType filter dropdown — it lists each value with its count. Or =COUNTIF on a loaded copy.</t>
  </si>
  <si>
    <t>💡  Replace Values is also how you'd fix things like trailing spaces or inconsistent spellings. For spaces specifically, Transform &gt; Format &gt; Trim is even quicker.</t>
  </si>
  <si>
    <t>Task 5 - Handle blanks (nulls)</t>
  </si>
  <si>
    <t>Members  -  one member has no email</t>
  </si>
  <si>
    <t>A blank cell in Power Query is shown as 'null'. Blanks aren't always errors, but you must DECIDE what to do with them rather than ignore them. Here, one member has no email on file. We'll replace the blank with a clear label so nobody mistakes it for missing-by-accident.</t>
  </si>
  <si>
    <t>①  Open the Members query and look down the Email column - one cell shows 'null'.</t>
  </si>
  <si>
    <t>②  First, see how many: click the dropdown arrow on the Email heading - the filter list shows '(null)' as one of the values.</t>
  </si>
  <si>
    <t>③  To label it: RIGHT-CLICK the cell that shows null and choose 'Replace Values...' - the dialog opens with the null already in 'Value To Find'.</t>
  </si>
  <si>
    <t>④  In 'Replace With' type:  Not provided   (If you open Replace Values from the ribbon instead, type the word  null  in 'Value To Find' - Power Query treats that word as the blank value.)</t>
  </si>
  <si>
    <t>⑤  Click OK. The blank now reads 'Not provided', so it's clearly intentional.</t>
  </si>
  <si>
    <t>⑥  Alternative approaches you should know: you could FILTER nulls out (heading dropdown &gt; untick (null)) if those rows aren't wanted, or Transform &gt; Fill if a value should carry down. Choose based on what the data needs.</t>
  </si>
  <si>
    <t>How many members have a blank (null) email to deal with?</t>
  </si>
  <si>
    <t>The Email filter dropdown shows '(null)' — how many times?</t>
  </si>
  <si>
    <t>After you label them 'Not provided', how many blank/null emails remain?</t>
  </si>
  <si>
    <t>Re-open the filter dropdown after the replace — '(null)' should be gone entirely.</t>
  </si>
  <si>
    <t>💡  Key idea: never leave nulls unexamined. Decide - label, remove, or fill - and record why. That judgement is exactly what an assessor wants to see.</t>
  </si>
  <si>
    <t>Task 6 - Remove duplicates</t>
  </si>
  <si>
    <t>Members  -  one person is in the list twice</t>
  </si>
  <si>
    <t>The same person can end up in the data twice - here, one member was re-registered under a new MemberID, so the IDs differ but the name and email are identical. Removing duplicates stops you double-counting. The trick is to remove duplicates based on the columns that identify a PERSON (name + email), not the ID.</t>
  </si>
  <si>
    <t>①  Open the Members query. Notice two rows with the same Full Name and Email but different MemberIDs.</t>
  </si>
  <si>
    <t>②  Select BOTH the Full Name and Email columns (click one heading, hold Ctrl, click the other).</t>
  </si>
  <si>
    <t>③  Go to Home &gt; Remove Rows &gt; Remove Duplicates.</t>
  </si>
  <si>
    <t>④  Power Query keeps the first matching row and removes the later duplicate. A 'Removed Duplicates' step appears.</t>
  </si>
  <si>
    <t>⑤  Check the row count has dropped by one.</t>
  </si>
  <si>
    <t>After removing duplicates, how many member rows remain?</t>
  </si>
  <si>
    <t>The row count shows bottom-left of the Power Query editor ('xx rows'). It should have dropped by exactly one.</t>
  </si>
  <si>
    <t>💡  Watch out: if you'd removed duplicates on MemberID, nothing would have been removed - the IDs are different. Choosing the RIGHT columns to match on is the whole skill here.</t>
  </si>
  <si>
    <t>Support - quick reference</t>
  </si>
  <si>
    <t>All the menu paths from this module in one place.</t>
  </si>
  <si>
    <t>Open a query to edit</t>
  </si>
  <si>
    <t>Data &gt; Queries &amp; Connections &gt; right-click the query &gt; Edit (or double-click it).</t>
  </si>
  <si>
    <t>Set a column's data type</t>
  </si>
  <si>
    <t>Click the type ICON left of the column heading &gt; choose Text / Whole Number / Decimal Number / Date. (Or Transform &gt; Data Type.)</t>
  </si>
  <si>
    <t>Rename a column</t>
  </si>
  <si>
    <t>Double-click the heading, type the new name, Enter. (Or Transform &gt; Rename.)</t>
  </si>
  <si>
    <t>Remove a column</t>
  </si>
  <si>
    <t>Select the heading &gt; right-click &gt; Remove. Several: Ctrl-click each heading first. (Home &gt; Remove Columns.)</t>
  </si>
  <si>
    <t>Replace a value</t>
  </si>
  <si>
    <t>Select the column &gt; Transform &gt; Replace Values &gt; type the old value and the new value &gt; OK.</t>
  </si>
  <si>
    <t>Trim spare spaces</t>
  </si>
  <si>
    <t>Select the column &gt; Transform &gt; Format &gt; Trim.</t>
  </si>
  <si>
    <t>See / handle nulls</t>
  </si>
  <si>
    <t>Click the heading's filter dropdown to see '(null)'. Replace null via Replace Values; remove by unticking (null) in the filter; or Transform &gt; Fill.</t>
  </si>
  <si>
    <t>Remove duplicates</t>
  </si>
  <si>
    <t>Select the column(s) that identify a record &gt; Home &gt; Remove Rows &gt; Remove Duplicates.</t>
  </si>
  <si>
    <t>Undo one action</t>
  </si>
  <si>
    <t>Applied Steps (right) &gt; click the X next to the step.</t>
  </si>
  <si>
    <t>Finish (connection only)</t>
  </si>
  <si>
    <t>Home &gt; Close &amp; Load To... &gt; Only Create Connection &gt; OK.</t>
  </si>
  <si>
    <t>If it all goes wrong - the rescue page</t>
  </si>
  <si>
    <t>Module 3 failures: cleaning steps - the Applied Steps pane is your time machine</t>
  </si>
  <si>
    <t>💡  GOLDEN RULE: Power Query and formulas NEVER change your source files. The raw data cannot be damaged by anything you do here - the worst case is a two-minute re-import. Breathe; nothing is lost.</t>
  </si>
  <si>
    <t>The fallback ladder - always in this order</t>
  </si>
  <si>
    <t>①  Undo the LAST step: Applied Steps pane &gt; click the X by the top step. (In a worksheet: Ctrl+Z.)</t>
  </si>
  <si>
    <t>②  Time-travel: click an EARLIER step in Applied Steps to see where it was still right, then rebuild from there.</t>
  </si>
  <si>
    <t>③  Delete the whole query (Queries &amp; Connections &gt; right-click &gt; Delete) and re-import. Two minutes, nothing lost.</t>
  </si>
  <si>
    <t>④  Do it another way: every Power Query move has a worksheet fallback (see the table below).</t>
  </si>
  <si>
    <t>⑤  Take a fresh copy of the source file and start that task again - the task sheets tell you every step.</t>
  </si>
  <si>
    <t>⑥  Open the Support tab; if still stuck, ask. Asking a precise question is a professional skill, not a failure.</t>
  </si>
  <si>
    <t>This module's classic failures - symptom on the left, fix on the right</t>
  </si>
  <si>
    <t>Replace Values did nothing</t>
  </si>
  <si>
    <t>The value to find must match EXACTLY - case and spaces. Copy the rogue value straight off a cell into the dialog.</t>
  </si>
  <si>
    <t>Cannot replace the null</t>
  </si>
  <si>
    <t>Type-sensitive dialog trouble: instead RIGHT-CLICK the null cell itself &gt; Replace Values - it pre-fills correctly.</t>
  </si>
  <si>
    <t>Removed the wrong column</t>
  </si>
  <si>
    <t>Applied Steps &gt; X on the Removed Columns step. The column returns instantly.</t>
  </si>
  <si>
    <t>Changed Type filled a column with Error</t>
  </si>
  <si>
    <t>Wrong type for the data (text dates, decimal minutes). Click the step's gear or re-set the type; for dates try Using Locale &gt; English (UK).</t>
  </si>
  <si>
    <t>Remove Duplicates deleted too many rows</t>
  </si>
  <si>
    <t>You had the wrong columns selected - duplicates are judged ONLY on selected columns. Undo the step, Ctrl-click the identity columns, redo.</t>
  </si>
  <si>
    <t>Fallback if a clean step will not behave</t>
  </si>
  <si>
    <t>Load the raw table to a sheet and do that one fix manually (Find &amp; Replace, Remove Duplicates on the Data ribbon) - slower, same result, still valid.</t>
  </si>
  <si>
    <t>Power Query window vanished / closed by accident</t>
  </si>
  <si>
    <t>Data &gt; Queries &amp; Connections &gt; double-click the query. Everything is still there.</t>
  </si>
  <si>
    <t>Excel froze or crashed</t>
  </si>
  <si>
    <t>Reopen the file - queries and steps are saved with the workbook. Your SOURCE files were never touched.</t>
  </si>
  <si>
    <t>💡  In the assessment, things going wrong is EXPECTED - assessors credit calm recovery. Narrate it: "That replace has not taken - I will copy the exact value from the cell into the dialog" scores better than silent panic ever can.</t>
  </si>
  <si>
    <t>Stretch - towards Distinction</t>
  </si>
  <si>
    <t>Think about WHY each clean was needed and what could go wrong.</t>
  </si>
  <si>
    <t>Distinction-level cleaning is about judgement: knowing why a fix matters and what the risk is if you skip it.</t>
  </si>
  <si>
    <t>Reasoning prompts (write your own - no marking)</t>
  </si>
  <si>
    <t>Why must you set data types BEFORE counting, sorting or filtering? Give a concrete example of what goes wrong if you don't.</t>
  </si>
  <si>
    <t>You replaced 'Aduit' with 'Adult'. How could you have FOUND that error in a much bigger data set? (hint: the column filter list.)</t>
  </si>
  <si>
    <t>The blank email - give one case where you'd LABEL it, one where you'd REMOVE the row, and one where you'd leave it. What decides?</t>
  </si>
  <si>
    <t>You removed duplicates on name + email, not on MemberID. Explain why the choice of matching columns mattered here.</t>
  </si>
  <si>
    <t>A harder clean (self-marked)</t>
  </si>
  <si>
    <t>Answer</t>
  </si>
  <si>
    <t>After cleaning, how many members are a concession type (Junior or Senior)?</t>
  </si>
  <si>
    <t>Concession = Junior + Senior. Try =COUNTIF(range,"Junior")+COUNTIF(range,"Senior") on a loaded copy.</t>
  </si>
  <si>
    <t>Confidence &amp; Next Steps</t>
  </si>
  <si>
    <t>Your readiness gate for Module 4</t>
  </si>
  <si>
    <t>Mastery gate - ready for Module 4 when you can honestly tick all of these</t>
  </si>
  <si>
    <t>Type x in each yellow box you can tick.</t>
  </si>
  <si>
    <t>I can open the Power Query Editor and name its main parts</t>
  </si>
  <si>
    <t>I set the correct data type on each column</t>
  </si>
  <si>
    <t>I renamed columns and removed the ExportRef column</t>
  </si>
  <si>
    <t>I replaced the 'Aduit' typo and handled the blank email</t>
  </si>
  <si>
    <t>I removed the duplicate member, matching on the right columns</t>
  </si>
  <si>
    <t>Re-rate your confidence (compare with your baseline)</t>
  </si>
  <si>
    <t>Seeing these rise from your Module 3 baseline is the goal.</t>
  </si>
  <si>
    <t>Now (1-5)</t>
  </si>
  <si>
    <t>Next up - Module 4: Shaping Data. With clean, trustworthy data, you'll now reSHAPE it: split the name into first and last, fill the gappy dates and batch refs, and add conditional columns to create useful categories - all in Power Query.</t>
  </si>
  <si>
    <t>②  Click once on the 'Choose Columns' option to open up the checkbox of all columns</t>
  </si>
  <si>
    <t xml:space="preserve">③ Uncheck 'ExportRef' to remove it </t>
  </si>
  <si>
    <t>④  The column disappears and a 'Choose Columns' step is added to Applied Steps.</t>
  </si>
  <si>
    <t>⑤  To remove several at once, clear their checkboxes as 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</si>
</sst>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charset val="1"/>
    </font>
    <font>
      <b/>
      <sz val="18"/>
      <color rgb="FFFFFFFF"/>
      <name val="Arial"/>
      <family val="2"/>
    </font>
    <font>
      <b/>
      <sz val="7"/>
      <color rgb="FF8C8C8C"/>
      <name val="Arial"/>
      <family val="2"/>
    </font>
    <font>
      <sz val="11"/>
      <color rgb="FFFFFFFF"/>
      <name val="Arial"/>
      <family val="2"/>
    </font>
    <font>
      <sz val="8"/>
      <color rgb="FF595959"/>
      <name val="Arial"/>
      <family val="2"/>
    </font>
    <font>
      <b/>
      <sz val="8"/>
      <color rgb="FFFFFFFF"/>
      <name val="Arial"/>
      <family val="2"/>
    </font>
    <font>
      <sz val="11"/>
      <color rgb="FF000000"/>
      <name val="Arial"/>
      <family val="2"/>
    </font>
    <font>
      <b/>
      <sz val="12"/>
      <color rgb="FF1F3B57"/>
      <name val="Arial"/>
      <family val="2"/>
    </font>
    <font>
      <sz val="11"/>
      <color rgb="FF006100"/>
      <name val="Arial"/>
      <family val="2"/>
    </font>
    <font>
      <b/>
      <sz val="10.5"/>
      <color rgb="FFFFFFFF"/>
      <name val="Arial"/>
      <family val="2"/>
    </font>
    <font>
      <b/>
      <sz val="11"/>
      <color rgb="FF1F3B57"/>
      <name val="Arial"/>
      <family val="2"/>
    </font>
    <font>
      <b/>
      <sz val="10"/>
      <color rgb="FF1F6B6B"/>
      <name val="Arial"/>
      <family val="2"/>
    </font>
    <font>
      <b/>
      <sz val="11"/>
      <name val="Arial"/>
      <family val="2"/>
    </font>
    <font>
      <i/>
      <sz val="9.5"/>
      <color rgb="FF3F6363"/>
      <name val="Arial"/>
      <family val="2"/>
    </font>
    <font>
      <sz val="10.5"/>
      <color rgb="FF5B4A1F"/>
      <name val="Arial"/>
      <family val="2"/>
    </font>
    <font>
      <sz val="11"/>
      <name val="Arial"/>
      <family val="2"/>
    </font>
    <font>
      <sz val="11"/>
      <color theme="1"/>
      <name val="Calibri"/>
      <family val="2"/>
    </font>
  </fonts>
  <fills count="10">
    <fill>
      <patternFill patternType="none"/>
    </fill>
    <fill>
      <patternFill patternType="gray125"/>
    </fill>
    <fill>
      <patternFill patternType="solid">
        <fgColor rgb="FF1F3B57"/>
        <bgColor rgb="FF003366"/>
      </patternFill>
    </fill>
    <fill>
      <patternFill patternType="solid">
        <fgColor rgb="FF2E8B8B"/>
        <bgColor rgb="FF2E75B6"/>
      </patternFill>
    </fill>
    <fill>
      <patternFill patternType="solid">
        <fgColor rgb="FFE2E6EA"/>
        <bgColor rgb="FFEAF2F2"/>
      </patternFill>
    </fill>
    <fill>
      <patternFill patternType="solid">
        <fgColor rgb="FFEAF2F2"/>
        <bgColor rgb="FFEFF6F6"/>
      </patternFill>
    </fill>
    <fill>
      <patternFill patternType="solid">
        <fgColor rgb="FFC6EFCE"/>
        <bgColor rgb="FFE2E6EA"/>
      </patternFill>
    </fill>
    <fill>
      <patternFill patternType="solid">
        <fgColor rgb="FFFFF3C4"/>
        <bgColor rgb="FFFDF4E3"/>
      </patternFill>
    </fill>
    <fill>
      <patternFill patternType="solid">
        <fgColor rgb="FFEFF6F6"/>
        <bgColor rgb="FFF5F5F5"/>
      </patternFill>
    </fill>
    <fill>
      <patternFill patternType="solid">
        <fgColor rgb="FFFDF4E3"/>
        <bgColor rgb="FFF5F5F5"/>
      </patternFill>
    </fill>
  </fills>
  <borders count="9">
    <border>
      <left/>
      <right/>
      <top/>
      <bottom/>
      <diagonal/>
    </border>
    <border>
      <left/>
      <right/>
      <top/>
      <bottom style="medium">
        <color rgb="FF2E8B8B"/>
      </bottom>
      <diagonal/>
    </border>
    <border>
      <left style="thick">
        <color rgb="FF2E8B8B"/>
      </left>
      <right/>
      <top/>
      <bottom/>
      <diagonal/>
    </border>
    <border>
      <left style="thin">
        <color rgb="FFBFBFBF"/>
      </left>
      <right/>
      <top style="thin">
        <color rgb="FFBFBFBF"/>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2E8B8B"/>
      </left>
      <right style="hair">
        <color rgb="FF9DC3C3"/>
      </right>
      <top style="hair">
        <color rgb="FF9DC3C3"/>
      </top>
      <bottom style="hair">
        <color rgb="FF9DC3C3"/>
      </bottom>
      <diagonal/>
    </border>
    <border>
      <left style="thick">
        <color rgb="FFE8A33D"/>
      </left>
      <right/>
      <top/>
      <bottom/>
      <diagonal/>
    </border>
    <border>
      <left/>
      <right/>
      <top/>
      <bottom style="thin">
        <color rgb="FFD9D9D9"/>
      </bottom>
      <diagonal/>
    </border>
  </borders>
  <cellStyleXfs count="1">
    <xf numFmtId="0" fontId="0" fillId="0" borderId="0"/>
  </cellStyleXfs>
  <cellXfs count="32">
    <xf numFmtId="0" fontId="0" fillId="0" borderId="0" xfId="0"/>
    <xf numFmtId="0" fontId="6" fillId="0" borderId="0" xfId="0" applyFont="1" applyAlignment="1">
      <alignment vertical="top" wrapText="1"/>
    </xf>
    <xf numFmtId="0" fontId="2" fillId="0" borderId="0" xfId="0" applyFont="1"/>
    <xf numFmtId="0" fontId="4" fillId="4" borderId="0" xfId="0" applyFont="1" applyFill="1" applyAlignment="1">
      <alignment horizontal="center" vertical="center"/>
    </xf>
    <xf numFmtId="0" fontId="5" fillId="3" borderId="0" xfId="0" applyFont="1" applyFill="1" applyAlignment="1">
      <alignment horizontal="center" vertical="center"/>
    </xf>
    <xf numFmtId="0" fontId="9" fillId="2" borderId="0" xfId="0" applyFont="1" applyFill="1" applyAlignment="1">
      <alignment vertical="center" wrapText="1"/>
    </xf>
    <xf numFmtId="0" fontId="10" fillId="0" borderId="5" xfId="0" applyFont="1" applyBorder="1" applyAlignment="1">
      <alignment vertical="top" wrapText="1"/>
    </xf>
    <xf numFmtId="0" fontId="6" fillId="0" borderId="5" xfId="0" applyFont="1" applyBorder="1" applyAlignment="1">
      <alignment vertical="top" wrapText="1"/>
    </xf>
    <xf numFmtId="0" fontId="9" fillId="2" borderId="0" xfId="0" applyFont="1" applyFill="1" applyAlignment="1">
      <alignment horizontal="center" vertical="center" wrapText="1"/>
    </xf>
    <xf numFmtId="0" fontId="11" fillId="0" borderId="0" xfId="0" applyFont="1" applyAlignment="1">
      <alignment vertical="center"/>
    </xf>
    <xf numFmtId="0" fontId="12" fillId="0" borderId="5" xfId="0" applyFont="1" applyBorder="1" applyAlignment="1">
      <alignment horizontal="center" vertical="center"/>
    </xf>
    <xf numFmtId="0" fontId="13" fillId="8" borderId="6" xfId="0" applyFont="1" applyFill="1" applyBorder="1" applyAlignment="1">
      <alignment vertical="top" wrapText="1"/>
    </xf>
    <xf numFmtId="0" fontId="10" fillId="5" borderId="8" xfId="0" applyFont="1" applyFill="1" applyBorder="1" applyAlignment="1">
      <alignment vertical="top" wrapText="1" indent="1"/>
    </xf>
    <xf numFmtId="0" fontId="9" fillId="2" borderId="0" xfId="0" applyFont="1" applyFill="1" applyAlignment="1">
      <alignment horizontal="center" vertical="center" wrapText="1" indent="1"/>
    </xf>
    <xf numFmtId="0" fontId="10" fillId="0" borderId="0" xfId="0" applyFont="1" applyAlignment="1">
      <alignment vertical="top" wrapText="1"/>
    </xf>
    <xf numFmtId="0" fontId="0" fillId="7" borderId="5" xfId="0" applyFill="1" applyBorder="1" applyAlignment="1" applyProtection="1">
      <alignment horizontal="center" vertical="center"/>
      <protection locked="0"/>
    </xf>
    <xf numFmtId="0" fontId="16" fillId="7" borderId="5" xfId="0" applyFont="1" applyFill="1" applyBorder="1" applyAlignment="1" applyProtection="1">
      <alignment horizontal="center" vertical="center"/>
      <protection locked="0"/>
    </xf>
    <xf numFmtId="0" fontId="1" fillId="2" borderId="0" xfId="0" applyFont="1" applyFill="1" applyAlignment="1">
      <alignment horizontal="left" vertical="center"/>
    </xf>
    <xf numFmtId="0" fontId="3" fillId="3" borderId="1" xfId="0" applyFont="1" applyFill="1" applyBorder="1" applyAlignment="1">
      <alignment horizontal="left" vertical="center"/>
    </xf>
    <xf numFmtId="0" fontId="6" fillId="0" borderId="0" xfId="0" applyFont="1" applyAlignment="1">
      <alignment vertical="top" wrapText="1"/>
    </xf>
    <xf numFmtId="0" fontId="7" fillId="5" borderId="2" xfId="0" applyFont="1" applyFill="1" applyBorder="1" applyAlignment="1">
      <alignment vertical="center" indent="1"/>
    </xf>
    <xf numFmtId="0" fontId="14" fillId="9" borderId="7" xfId="0" applyFont="1" applyFill="1" applyBorder="1" applyAlignment="1">
      <alignment vertical="top" wrapText="1"/>
    </xf>
    <xf numFmtId="0" fontId="9" fillId="2" borderId="0" xfId="0" applyFont="1" applyFill="1" applyAlignment="1">
      <alignment horizontal="left" vertical="center" wrapText="1" indent="1"/>
    </xf>
    <xf numFmtId="0" fontId="6" fillId="0" borderId="4" xfId="0" applyFont="1" applyBorder="1" applyAlignment="1">
      <alignment vertical="top" wrapText="1"/>
    </xf>
    <xf numFmtId="0" fontId="8" fillId="6" borderId="3" xfId="0" applyFont="1" applyFill="1" applyBorder="1" applyAlignment="1">
      <alignment vertical="top" wrapText="1"/>
    </xf>
    <xf numFmtId="0" fontId="0" fillId="7" borderId="4" xfId="0" applyFill="1" applyBorder="1" applyAlignment="1" applyProtection="1">
      <alignment horizontal="center" vertical="center"/>
      <protection locked="0"/>
    </xf>
    <xf numFmtId="0" fontId="9" fillId="2" borderId="0" xfId="0" applyFont="1" applyFill="1" applyAlignment="1">
      <alignment vertical="center" wrapText="1" indent="1"/>
    </xf>
    <xf numFmtId="0" fontId="1" fillId="2" borderId="0" xfId="0" applyFont="1" applyFill="1" applyAlignment="1">
      <alignment vertical="center"/>
    </xf>
    <xf numFmtId="0" fontId="3" fillId="3" borderId="1" xfId="0" applyFont="1" applyFill="1" applyBorder="1" applyAlignment="1">
      <alignment vertical="center"/>
    </xf>
    <xf numFmtId="0" fontId="15" fillId="0" borderId="0" xfId="0" applyFont="1" applyAlignment="1">
      <alignment vertical="top" wrapText="1"/>
    </xf>
    <xf numFmtId="0" fontId="15" fillId="0" borderId="8" xfId="0" applyFont="1" applyBorder="1" applyAlignment="1">
      <alignment vertical="top" wrapText="1"/>
    </xf>
    <xf numFmtId="0" fontId="0" fillId="7" borderId="4" xfId="0" applyFill="1" applyBorder="1" applyAlignment="1" applyProtection="1">
      <alignment vertical="top" wrapText="1"/>
      <protection locked="0"/>
    </xf>
  </cellXfs>
  <cellStyles count="1">
    <cellStyle name="Normal" xfId="0" builtinId="0"/>
  </cellStyles>
  <dxfs count="12">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548235"/>
      <rgbColor rgb="FF800080"/>
      <rgbColor rgb="FF1F6B6B"/>
      <rgbColor rgb="FFBFBFBF"/>
      <rgbColor rgb="FF7F7F7F"/>
      <rgbColor rgb="FF9999FF"/>
      <rgbColor rgb="FF7030A0"/>
      <rgbColor rgb="FFFFF3C4"/>
      <rgbColor rgb="FFEA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FF6F6"/>
      <rgbColor rgb="FFC6EFCE"/>
      <rgbColor rgb="FFFDF4E3"/>
      <rgbColor rgb="FF9DC3C3"/>
      <rgbColor rgb="FFF5F5F5"/>
      <rgbColor rgb="FFE2E6EA"/>
      <rgbColor rgb="FFFFC7CE"/>
      <rgbColor rgb="FF2E75B6"/>
      <rgbColor rgb="FF33CCCC"/>
      <rgbColor rgb="FFBF8F00"/>
      <rgbColor rgb="FFFFCC00"/>
      <rgbColor rgb="FFE8A33D"/>
      <rgbColor rgb="FFC55A11"/>
      <rgbColor rgb="FF595959"/>
      <rgbColor rgb="FF8C8C8C"/>
      <rgbColor rgb="FF003366"/>
      <rgbColor rgb="FF2E8B8B"/>
      <rgbColor rgb="FF003300"/>
      <rgbColor rgb="FF5B4A1F"/>
      <rgbColor rgb="FF993300"/>
      <rgbColor rgb="FF993366"/>
      <rgbColor rgb="FF3F6363"/>
      <rgbColor rgb="FF1F3B5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absolute">
    <xdr:from>
      <xdr:col>5</xdr:col>
      <xdr:colOff>389717</xdr:colOff>
      <xdr:row>6</xdr:row>
      <xdr:rowOff>133350</xdr:rowOff>
    </xdr:from>
    <xdr:to>
      <xdr:col>8</xdr:col>
      <xdr:colOff>174622</xdr:colOff>
      <xdr:row>16</xdr:row>
      <xdr:rowOff>390525</xdr:rowOff>
    </xdr:to>
    <xdr:pic>
      <xdr:nvPicPr>
        <xdr:cNvPr id="2" name="Picture 1">
          <a:extLst>
            <a:ext uri="{FF2B5EF4-FFF2-40B4-BE49-F238E27FC236}">
              <a16:creationId xmlns:a16="http://schemas.microsoft.com/office/drawing/2014/main" id="{D037CE3A-1E4D-86D1-9C28-3354A55179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8057342" y="1857375"/>
          <a:ext cx="2185205" cy="4943475"/>
        </a:xfrm>
        <a:prstGeom prst="rect">
          <a:avLst/>
        </a:prstGeom>
        <a:ln>
          <a:solidFill>
            <a:schemeClr val="accent1"/>
          </a:solidFill>
        </a:ln>
      </xdr:spPr>
    </xdr:pic>
    <xdr:clientData/>
  </xdr:twoCellAnchor>
  <xdr:twoCellAnchor editAs="oneCell">
    <xdr:from>
      <xdr:col>1</xdr:col>
      <xdr:colOff>57151</xdr:colOff>
      <xdr:row>17</xdr:row>
      <xdr:rowOff>223362</xdr:rowOff>
    </xdr:from>
    <xdr:to>
      <xdr:col>9</xdr:col>
      <xdr:colOff>28575</xdr:colOff>
      <xdr:row>19</xdr:row>
      <xdr:rowOff>4562237</xdr:rowOff>
    </xdr:to>
    <xdr:pic>
      <xdr:nvPicPr>
        <xdr:cNvPr id="3" name="Picture 2">
          <a:extLst>
            <a:ext uri="{FF2B5EF4-FFF2-40B4-BE49-F238E27FC236}">
              <a16:creationId xmlns:a16="http://schemas.microsoft.com/office/drawing/2014/main" id="{1E979F62-44DF-0DF9-0875-34A744FECDA4}"/>
            </a:ext>
          </a:extLst>
        </xdr:cNvPr>
        <xdr:cNvPicPr>
          <a:picLocks noChangeAspect="1"/>
        </xdr:cNvPicPr>
      </xdr:nvPicPr>
      <xdr:blipFill>
        <a:blip xmlns:r="http://schemas.openxmlformats.org/officeDocument/2006/relationships" r:embed="rId2"/>
        <a:stretch>
          <a:fillRect/>
        </a:stretch>
      </xdr:blipFill>
      <xdr:spPr>
        <a:xfrm>
          <a:off x="257176" y="7367112"/>
          <a:ext cx="10801349" cy="5805725"/>
        </a:xfrm>
        <a:prstGeom prst="rect">
          <a:avLst/>
        </a:prstGeom>
        <a:ln>
          <a:solidFill>
            <a:schemeClr val="accent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171450</xdr:colOff>
      <xdr:row>13</xdr:row>
      <xdr:rowOff>76200</xdr:rowOff>
    </xdr:from>
    <xdr:to>
      <xdr:col>9</xdr:col>
      <xdr:colOff>608590</xdr:colOff>
      <xdr:row>15</xdr:row>
      <xdr:rowOff>3294957</xdr:rowOff>
    </xdr:to>
    <xdr:pic>
      <xdr:nvPicPr>
        <xdr:cNvPr id="2" name="Picture 1">
          <a:extLst>
            <a:ext uri="{FF2B5EF4-FFF2-40B4-BE49-F238E27FC236}">
              <a16:creationId xmlns:a16="http://schemas.microsoft.com/office/drawing/2014/main" id="{61E02737-708C-C1EC-C53A-A95E89FDBB7F}"/>
            </a:ext>
          </a:extLst>
        </xdr:cNvPr>
        <xdr:cNvPicPr>
          <a:picLocks noChangeAspect="1"/>
        </xdr:cNvPicPr>
      </xdr:nvPicPr>
      <xdr:blipFill>
        <a:blip xmlns:r="http://schemas.openxmlformats.org/officeDocument/2006/relationships" r:embed="rId1"/>
        <a:stretch>
          <a:fillRect/>
        </a:stretch>
      </xdr:blipFill>
      <xdr:spPr>
        <a:xfrm>
          <a:off x="171450" y="3914775"/>
          <a:ext cx="8076190" cy="5542857"/>
        </a:xfrm>
        <a:prstGeom prst="rect">
          <a:avLst/>
        </a:prstGeom>
        <a:ln>
          <a:solidFill>
            <a:schemeClr val="accent1"/>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295275</xdr:colOff>
      <xdr:row>10</xdr:row>
      <xdr:rowOff>352425</xdr:rowOff>
    </xdr:from>
    <xdr:to>
      <xdr:col>7</xdr:col>
      <xdr:colOff>733854</xdr:colOff>
      <xdr:row>12</xdr:row>
      <xdr:rowOff>2076450</xdr:rowOff>
    </xdr:to>
    <xdr:pic>
      <xdr:nvPicPr>
        <xdr:cNvPr id="2" name="Picture 1">
          <a:extLst>
            <a:ext uri="{FF2B5EF4-FFF2-40B4-BE49-F238E27FC236}">
              <a16:creationId xmlns:a16="http://schemas.microsoft.com/office/drawing/2014/main" id="{2463B2AE-1C27-7338-0752-F6913351B697}"/>
            </a:ext>
          </a:extLst>
        </xdr:cNvPr>
        <xdr:cNvPicPr>
          <a:picLocks noChangeAspect="1"/>
        </xdr:cNvPicPr>
      </xdr:nvPicPr>
      <xdr:blipFill>
        <a:blip xmlns:r="http://schemas.openxmlformats.org/officeDocument/2006/relationships" r:embed="rId1"/>
        <a:stretch>
          <a:fillRect/>
        </a:stretch>
      </xdr:blipFill>
      <xdr:spPr>
        <a:xfrm>
          <a:off x="495300" y="3333750"/>
          <a:ext cx="6839379" cy="4648200"/>
        </a:xfrm>
        <a:prstGeom prst="rect">
          <a:avLst/>
        </a:prstGeom>
        <a:ln>
          <a:solidFill>
            <a:schemeClr val="accent1"/>
          </a:solid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208684</xdr:colOff>
      <xdr:row>12</xdr:row>
      <xdr:rowOff>64944</xdr:rowOff>
    </xdr:from>
    <xdr:to>
      <xdr:col>9</xdr:col>
      <xdr:colOff>2639839</xdr:colOff>
      <xdr:row>13</xdr:row>
      <xdr:rowOff>2164774</xdr:rowOff>
    </xdr:to>
    <xdr:pic>
      <xdr:nvPicPr>
        <xdr:cNvPr id="2" name="Picture 1">
          <a:extLst>
            <a:ext uri="{FF2B5EF4-FFF2-40B4-BE49-F238E27FC236}">
              <a16:creationId xmlns:a16="http://schemas.microsoft.com/office/drawing/2014/main" id="{5B26E52A-5C62-8C28-604A-6B422DB5DB25}"/>
            </a:ext>
          </a:extLst>
        </xdr:cNvPr>
        <xdr:cNvPicPr>
          <a:picLocks noChangeAspect="1"/>
        </xdr:cNvPicPr>
      </xdr:nvPicPr>
      <xdr:blipFill>
        <a:blip xmlns:r="http://schemas.openxmlformats.org/officeDocument/2006/relationships" r:embed="rId1"/>
        <a:stretch>
          <a:fillRect/>
        </a:stretch>
      </xdr:blipFill>
      <xdr:spPr>
        <a:xfrm>
          <a:off x="416502" y="3286126"/>
          <a:ext cx="9877973" cy="5390284"/>
        </a:xfrm>
        <a:prstGeom prst="rect">
          <a:avLst/>
        </a:prstGeom>
        <a:ln>
          <a:solidFill>
            <a:schemeClr val="accent1"/>
          </a:solid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47625</xdr:colOff>
      <xdr:row>12</xdr:row>
      <xdr:rowOff>76200</xdr:rowOff>
    </xdr:from>
    <xdr:to>
      <xdr:col>9</xdr:col>
      <xdr:colOff>684790</xdr:colOff>
      <xdr:row>14</xdr:row>
      <xdr:rowOff>2485296</xdr:rowOff>
    </xdr:to>
    <xdr:pic>
      <xdr:nvPicPr>
        <xdr:cNvPr id="2" name="Picture 1">
          <a:extLst>
            <a:ext uri="{FF2B5EF4-FFF2-40B4-BE49-F238E27FC236}">
              <a16:creationId xmlns:a16="http://schemas.microsoft.com/office/drawing/2014/main" id="{1F481C62-1E2C-868E-8A0C-1F2C30E8FBB5}"/>
            </a:ext>
          </a:extLst>
        </xdr:cNvPr>
        <xdr:cNvPicPr>
          <a:picLocks noChangeAspect="1"/>
        </xdr:cNvPicPr>
      </xdr:nvPicPr>
      <xdr:blipFill>
        <a:blip xmlns:r="http://schemas.openxmlformats.org/officeDocument/2006/relationships" r:embed="rId1"/>
        <a:stretch>
          <a:fillRect/>
        </a:stretch>
      </xdr:blipFill>
      <xdr:spPr>
        <a:xfrm>
          <a:off x="247650" y="3343275"/>
          <a:ext cx="8076190" cy="5828571"/>
        </a:xfrm>
        <a:prstGeom prst="rect">
          <a:avLst/>
        </a:prstGeom>
        <a:ln>
          <a:solidFill>
            <a:schemeClr val="accent1"/>
          </a:solid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12</xdr:row>
      <xdr:rowOff>0</xdr:rowOff>
    </xdr:from>
    <xdr:to>
      <xdr:col>9</xdr:col>
      <xdr:colOff>703832</xdr:colOff>
      <xdr:row>14</xdr:row>
      <xdr:rowOff>4799802</xdr:rowOff>
    </xdr:to>
    <xdr:pic>
      <xdr:nvPicPr>
        <xdr:cNvPr id="2" name="Picture 1">
          <a:extLst>
            <a:ext uri="{FF2B5EF4-FFF2-40B4-BE49-F238E27FC236}">
              <a16:creationId xmlns:a16="http://schemas.microsoft.com/office/drawing/2014/main" id="{A3B6AFD1-6C0A-CCA8-F4DD-25ED0F2EB8E8}"/>
            </a:ext>
          </a:extLst>
        </xdr:cNvPr>
        <xdr:cNvPicPr>
          <a:picLocks noChangeAspect="1"/>
        </xdr:cNvPicPr>
      </xdr:nvPicPr>
      <xdr:blipFill>
        <a:blip xmlns:r="http://schemas.openxmlformats.org/officeDocument/2006/relationships" r:embed="rId1"/>
        <a:stretch>
          <a:fillRect/>
        </a:stretch>
      </xdr:blipFill>
      <xdr:spPr>
        <a:xfrm>
          <a:off x="200025" y="3990975"/>
          <a:ext cx="8142857" cy="6380952"/>
        </a:xfrm>
        <a:prstGeom prst="rect">
          <a:avLst/>
        </a:prstGeom>
        <a:ln>
          <a:solidFill>
            <a:schemeClr val="accent1"/>
          </a:solid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161925</xdr:colOff>
      <xdr:row>11</xdr:row>
      <xdr:rowOff>63579</xdr:rowOff>
    </xdr:from>
    <xdr:to>
      <xdr:col>9</xdr:col>
      <xdr:colOff>2455163</xdr:colOff>
      <xdr:row>14</xdr:row>
      <xdr:rowOff>4646970</xdr:rowOff>
    </xdr:to>
    <xdr:pic>
      <xdr:nvPicPr>
        <xdr:cNvPr id="2" name="Picture 1">
          <a:extLst>
            <a:ext uri="{FF2B5EF4-FFF2-40B4-BE49-F238E27FC236}">
              <a16:creationId xmlns:a16="http://schemas.microsoft.com/office/drawing/2014/main" id="{8D697460-7B90-B864-8171-7D84AF082D52}"/>
            </a:ext>
          </a:extLst>
        </xdr:cNvPr>
        <xdr:cNvPicPr>
          <a:picLocks noChangeAspect="1"/>
        </xdr:cNvPicPr>
      </xdr:nvPicPr>
      <xdr:blipFill>
        <a:blip xmlns:r="http://schemas.openxmlformats.org/officeDocument/2006/relationships" r:embed="rId1"/>
        <a:stretch>
          <a:fillRect/>
        </a:stretch>
      </xdr:blipFill>
      <xdr:spPr>
        <a:xfrm>
          <a:off x="361950" y="3444954"/>
          <a:ext cx="9732263" cy="5231091"/>
        </a:xfrm>
        <a:prstGeom prst="rect">
          <a:avLst/>
        </a:prstGeom>
        <a:ln>
          <a:solidFill>
            <a:schemeClr val="accent1"/>
          </a:solid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B57"/>
  </sheetPr>
  <dimension ref="A1:V1000"/>
  <sheetViews>
    <sheetView showGridLines="0" topLeftCell="A7" zoomScaleNormal="100" workbookViewId="0">
      <selection activeCell="G25" sqref="G25:H28"/>
    </sheetView>
  </sheetViews>
  <sheetFormatPr defaultColWidth="14.42578125" defaultRowHeight="15" x14ac:dyDescent="0.25"/>
  <cols>
    <col min="1" max="1" width="3" customWidth="1"/>
    <col min="2" max="2" width="24" customWidth="1"/>
    <col min="3" max="5" width="14" customWidth="1"/>
    <col min="6" max="6" width="16" customWidth="1"/>
    <col min="7" max="7" width="14" customWidth="1"/>
    <col min="8" max="8" width="16" customWidth="1"/>
    <col min="10" max="22" width="3.42578125" customWidth="1"/>
  </cols>
  <sheetData>
    <row r="1" spans="1:22" ht="30" customHeight="1" x14ac:dyDescent="0.25">
      <c r="A1" s="17" t="s">
        <v>0</v>
      </c>
      <c r="B1" s="17"/>
      <c r="C1" s="17"/>
      <c r="D1" s="17"/>
      <c r="E1" s="17"/>
      <c r="F1" s="17"/>
      <c r="G1" s="17"/>
      <c r="H1" s="17"/>
      <c r="J1" s="2" t="s">
        <v>1</v>
      </c>
    </row>
    <row r="2" spans="1:22" ht="21.75" customHeight="1" x14ac:dyDescent="0.25">
      <c r="A2" s="18" t="s">
        <v>2</v>
      </c>
      <c r="B2" s="18"/>
      <c r="C2" s="18"/>
      <c r="D2" s="18"/>
      <c r="E2" s="18"/>
      <c r="F2" s="18"/>
      <c r="G2" s="18"/>
      <c r="H2" s="18"/>
      <c r="J2" s="3">
        <v>1</v>
      </c>
      <c r="K2" s="3">
        <v>2</v>
      </c>
      <c r="L2" s="4">
        <v>3</v>
      </c>
      <c r="M2" s="3">
        <v>4</v>
      </c>
      <c r="N2" s="3">
        <v>5</v>
      </c>
      <c r="O2" s="3">
        <v>6</v>
      </c>
      <c r="P2" s="3">
        <v>7</v>
      </c>
      <c r="Q2" s="3">
        <v>8</v>
      </c>
      <c r="R2" s="3">
        <v>9</v>
      </c>
      <c r="S2" s="3">
        <v>10</v>
      </c>
      <c r="T2" s="3">
        <v>11</v>
      </c>
      <c r="U2" s="3">
        <v>12</v>
      </c>
      <c r="V2" s="3">
        <v>13</v>
      </c>
    </row>
    <row r="4" spans="1:22" ht="63.75" customHeight="1" x14ac:dyDescent="0.25">
      <c r="A4" s="19" t="s">
        <v>3</v>
      </c>
      <c r="B4" s="19"/>
      <c r="C4" s="19"/>
      <c r="D4" s="19"/>
      <c r="E4" s="19"/>
      <c r="F4" s="19"/>
      <c r="G4" s="19"/>
      <c r="H4" s="19"/>
    </row>
    <row r="6" spans="1:22" ht="24" customHeight="1" x14ac:dyDescent="0.25">
      <c r="A6" s="20" t="s">
        <v>4</v>
      </c>
      <c r="B6" s="20"/>
      <c r="C6" s="20"/>
      <c r="D6" s="20"/>
      <c r="E6" s="20"/>
      <c r="F6" s="20"/>
      <c r="G6" s="20"/>
      <c r="H6" s="20"/>
    </row>
    <row r="7" spans="1:22" ht="15.75" customHeight="1" x14ac:dyDescent="0.25">
      <c r="B7" s="19" t="s">
        <v>5</v>
      </c>
      <c r="C7" s="19"/>
      <c r="D7" s="19"/>
      <c r="E7" s="19"/>
      <c r="F7" s="19"/>
      <c r="G7" s="19"/>
      <c r="H7" s="19"/>
    </row>
    <row r="8" spans="1:22" ht="15.75" customHeight="1" x14ac:dyDescent="0.25">
      <c r="B8" s="19" t="s">
        <v>6</v>
      </c>
      <c r="C8" s="19"/>
      <c r="D8" s="19"/>
      <c r="E8" s="19"/>
      <c r="F8" s="19"/>
      <c r="G8" s="19"/>
      <c r="H8" s="19"/>
    </row>
    <row r="9" spans="1:22" ht="15.75" customHeight="1" x14ac:dyDescent="0.25">
      <c r="B9" s="19" t="s">
        <v>7</v>
      </c>
      <c r="C9" s="19"/>
      <c r="D9" s="19"/>
      <c r="E9" s="19"/>
      <c r="F9" s="19"/>
      <c r="G9" s="19"/>
      <c r="H9" s="19"/>
    </row>
    <row r="10" spans="1:22" ht="15.75" customHeight="1" x14ac:dyDescent="0.25">
      <c r="B10" s="19" t="s">
        <v>8</v>
      </c>
      <c r="C10" s="19"/>
      <c r="D10" s="19"/>
      <c r="E10" s="19"/>
      <c r="F10" s="19"/>
      <c r="G10" s="19"/>
      <c r="H10" s="19"/>
    </row>
    <row r="11" spans="1:22" ht="15.75" customHeight="1" x14ac:dyDescent="0.25">
      <c r="B11" s="19" t="s">
        <v>9</v>
      </c>
      <c r="C11" s="19"/>
      <c r="D11" s="19"/>
      <c r="E11" s="19"/>
      <c r="F11" s="19"/>
      <c r="G11" s="19"/>
      <c r="H11" s="19"/>
    </row>
    <row r="12" spans="1:22" ht="15.75" customHeight="1" x14ac:dyDescent="0.25">
      <c r="B12" s="19" t="s">
        <v>10</v>
      </c>
      <c r="C12" s="19"/>
      <c r="D12" s="19"/>
      <c r="E12" s="19"/>
      <c r="F12" s="19"/>
      <c r="G12" s="19"/>
      <c r="H12" s="19"/>
    </row>
    <row r="14" spans="1:22" ht="24" customHeight="1" x14ac:dyDescent="0.25">
      <c r="A14" s="20" t="s">
        <v>11</v>
      </c>
      <c r="B14" s="20"/>
      <c r="C14" s="20"/>
      <c r="D14" s="20"/>
      <c r="E14" s="20"/>
      <c r="F14" s="20"/>
      <c r="G14" s="20"/>
      <c r="H14" s="20"/>
    </row>
    <row r="15" spans="1:22" ht="43.5" customHeight="1" x14ac:dyDescent="0.25">
      <c r="A15" s="19" t="s">
        <v>12</v>
      </c>
      <c r="B15" s="19"/>
      <c r="C15" s="19"/>
      <c r="D15" s="19"/>
      <c r="E15" s="19"/>
      <c r="F15" s="19"/>
      <c r="G15" s="19"/>
      <c r="H15" s="19"/>
    </row>
    <row r="18" spans="1:8" ht="24" customHeight="1" x14ac:dyDescent="0.25">
      <c r="A18" s="20" t="s">
        <v>13</v>
      </c>
      <c r="B18" s="20"/>
      <c r="C18" s="20"/>
      <c r="D18" s="20"/>
      <c r="E18" s="20"/>
      <c r="F18" s="20"/>
      <c r="G18" s="20"/>
      <c r="H18" s="20"/>
    </row>
    <row r="19" spans="1:8" ht="15" customHeight="1" x14ac:dyDescent="0.25">
      <c r="B19" s="24" t="s">
        <v>14</v>
      </c>
      <c r="C19" s="24"/>
      <c r="D19" s="24"/>
      <c r="E19" s="24"/>
      <c r="F19" s="24"/>
      <c r="G19" s="24"/>
      <c r="H19" s="24"/>
    </row>
    <row r="20" spans="1:8" ht="15" customHeight="1" x14ac:dyDescent="0.25">
      <c r="B20" s="24"/>
      <c r="C20" s="24"/>
      <c r="D20" s="24"/>
      <c r="E20" s="24"/>
      <c r="F20" s="24"/>
      <c r="G20" s="24"/>
      <c r="H20" s="24"/>
    </row>
    <row r="21" spans="1:8" ht="15.75" customHeight="1" x14ac:dyDescent="0.25">
      <c r="B21" s="24"/>
      <c r="C21" s="24"/>
      <c r="D21" s="24"/>
      <c r="E21" s="24"/>
      <c r="F21" s="24"/>
      <c r="G21" s="24"/>
      <c r="H21" s="24"/>
    </row>
    <row r="22" spans="1:8" ht="15.75" customHeight="1" x14ac:dyDescent="0.25"/>
    <row r="23" spans="1:8" ht="24" customHeight="1" x14ac:dyDescent="0.25">
      <c r="A23" s="20" t="s">
        <v>15</v>
      </c>
      <c r="B23" s="20"/>
      <c r="C23" s="20"/>
      <c r="D23" s="20"/>
      <c r="E23" s="20"/>
      <c r="F23" s="20"/>
      <c r="G23" s="20"/>
      <c r="H23" s="20"/>
    </row>
    <row r="24" spans="1:8" ht="18" customHeight="1" x14ac:dyDescent="0.25">
      <c r="B24" s="26" t="s">
        <v>16</v>
      </c>
      <c r="C24" s="26"/>
      <c r="D24" s="26"/>
      <c r="E24" s="26"/>
      <c r="F24" s="26"/>
      <c r="G24" s="5" t="s">
        <v>17</v>
      </c>
    </row>
    <row r="25" spans="1:8" ht="15" customHeight="1" x14ac:dyDescent="0.25">
      <c r="B25" s="23" t="s">
        <v>18</v>
      </c>
      <c r="C25" s="23"/>
      <c r="D25" s="23"/>
      <c r="E25" s="23"/>
      <c r="F25" s="23"/>
      <c r="G25" s="25"/>
      <c r="H25" s="25"/>
    </row>
    <row r="26" spans="1:8" ht="15" customHeight="1" x14ac:dyDescent="0.25">
      <c r="B26" s="23" t="s">
        <v>19</v>
      </c>
      <c r="C26" s="23"/>
      <c r="D26" s="23"/>
      <c r="E26" s="23"/>
      <c r="F26" s="23"/>
      <c r="G26" s="25"/>
      <c r="H26" s="25"/>
    </row>
    <row r="27" spans="1:8" ht="15" customHeight="1" x14ac:dyDescent="0.25">
      <c r="B27" s="23" t="s">
        <v>20</v>
      </c>
      <c r="C27" s="23"/>
      <c r="D27" s="23"/>
      <c r="E27" s="23"/>
      <c r="F27" s="23"/>
      <c r="G27" s="25"/>
      <c r="H27" s="25"/>
    </row>
    <row r="28" spans="1:8" ht="15" customHeight="1" x14ac:dyDescent="0.25">
      <c r="B28" s="23" t="s">
        <v>21</v>
      </c>
      <c r="C28" s="23"/>
      <c r="D28" s="23"/>
      <c r="E28" s="23"/>
      <c r="F28" s="23"/>
      <c r="G28" s="25"/>
      <c r="H28" s="25"/>
    </row>
    <row r="29" spans="1:8" ht="15.75" customHeight="1" x14ac:dyDescent="0.25"/>
    <row r="30" spans="1:8" ht="15.75" customHeight="1" x14ac:dyDescent="0.25"/>
    <row r="31" spans="1:8" ht="15.75" customHeight="1" x14ac:dyDescent="0.25"/>
    <row r="32" spans="1: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24">
    <mergeCell ref="B27:F27"/>
    <mergeCell ref="G27:H27"/>
    <mergeCell ref="B28:F28"/>
    <mergeCell ref="G28:H28"/>
    <mergeCell ref="B24:F24"/>
    <mergeCell ref="B25:F25"/>
    <mergeCell ref="G25:H25"/>
    <mergeCell ref="B26:F26"/>
    <mergeCell ref="G26:H26"/>
    <mergeCell ref="A14:H14"/>
    <mergeCell ref="A15:H15"/>
    <mergeCell ref="A18:H18"/>
    <mergeCell ref="B19:H21"/>
    <mergeCell ref="A23:H23"/>
    <mergeCell ref="B8:H8"/>
    <mergeCell ref="B9:H9"/>
    <mergeCell ref="B10:H10"/>
    <mergeCell ref="B11:H11"/>
    <mergeCell ref="B12:H12"/>
    <mergeCell ref="A1:H1"/>
    <mergeCell ref="A2:H2"/>
    <mergeCell ref="A4:H4"/>
    <mergeCell ref="A6:H6"/>
    <mergeCell ref="B7:H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8B8B"/>
  </sheetPr>
  <dimension ref="A1:H989"/>
  <sheetViews>
    <sheetView showGridLines="0" topLeftCell="A8" zoomScaleNormal="100" workbookViewId="0">
      <selection activeCell="K15" sqref="K15"/>
    </sheetView>
  </sheetViews>
  <sheetFormatPr defaultColWidth="14.42578125" defaultRowHeight="15" x14ac:dyDescent="0.25"/>
  <cols>
    <col min="1" max="1" width="3" customWidth="1"/>
    <col min="2" max="2" width="26" customWidth="1"/>
    <col min="3" max="3" width="62" customWidth="1"/>
    <col min="4" max="8" width="12" customWidth="1"/>
  </cols>
  <sheetData>
    <row r="1" spans="1:8" ht="30" customHeight="1" x14ac:dyDescent="0.25">
      <c r="A1" s="17" t="s">
        <v>22</v>
      </c>
      <c r="B1" s="17"/>
      <c r="C1" s="17"/>
      <c r="D1" s="17"/>
      <c r="E1" s="17"/>
      <c r="F1" s="17"/>
      <c r="G1" s="17"/>
      <c r="H1" s="17"/>
    </row>
    <row r="2" spans="1:8" ht="21.75" customHeight="1" x14ac:dyDescent="0.25">
      <c r="A2" s="18" t="s">
        <v>23</v>
      </c>
      <c r="B2" s="18"/>
      <c r="C2" s="18"/>
      <c r="D2" s="18"/>
      <c r="E2" s="18"/>
      <c r="F2" s="18"/>
      <c r="G2" s="18"/>
      <c r="H2" s="18"/>
    </row>
    <row r="4" spans="1:8" ht="30" customHeight="1" x14ac:dyDescent="0.25">
      <c r="A4" s="19" t="s">
        <v>24</v>
      </c>
      <c r="B4" s="19"/>
      <c r="C4" s="19"/>
      <c r="D4" s="19"/>
      <c r="E4" s="19"/>
      <c r="F4" s="19"/>
      <c r="G4" s="19"/>
      <c r="H4" s="19"/>
    </row>
    <row r="6" spans="1:8" ht="24" customHeight="1" x14ac:dyDescent="0.25">
      <c r="A6" s="20" t="s">
        <v>25</v>
      </c>
      <c r="B6" s="20"/>
      <c r="C6" s="20"/>
      <c r="D6" s="20"/>
      <c r="E6" s="20"/>
      <c r="F6" s="20"/>
      <c r="G6" s="20"/>
      <c r="H6" s="20"/>
    </row>
    <row r="7" spans="1:8" ht="18" customHeight="1" x14ac:dyDescent="0.25">
      <c r="B7" s="19" t="s">
        <v>26</v>
      </c>
      <c r="C7" s="19"/>
      <c r="D7" s="19"/>
      <c r="E7" s="19"/>
      <c r="F7" s="19"/>
      <c r="G7" s="19"/>
      <c r="H7" s="19"/>
    </row>
    <row r="8" spans="1:8" ht="31.5" customHeight="1" x14ac:dyDescent="0.25">
      <c r="B8" s="19" t="s">
        <v>27</v>
      </c>
      <c r="C8" s="19"/>
      <c r="D8" s="19"/>
      <c r="E8" s="19"/>
      <c r="F8" s="19"/>
      <c r="G8" s="19"/>
      <c r="H8" s="19"/>
    </row>
    <row r="9" spans="1:8" ht="31.5" customHeight="1" x14ac:dyDescent="0.25">
      <c r="B9" s="19" t="s">
        <v>28</v>
      </c>
      <c r="C9" s="19"/>
      <c r="D9" s="19"/>
      <c r="E9" s="19"/>
      <c r="F9" s="19"/>
      <c r="G9" s="19"/>
      <c r="H9" s="19"/>
    </row>
    <row r="10" spans="1:8" ht="18" customHeight="1" x14ac:dyDescent="0.25">
      <c r="B10" s="19" t="s">
        <v>29</v>
      </c>
      <c r="C10" s="19"/>
      <c r="D10" s="19"/>
      <c r="E10" s="19"/>
      <c r="F10" s="19"/>
      <c r="G10" s="19"/>
      <c r="H10" s="19"/>
    </row>
    <row r="12" spans="1:8" ht="24" customHeight="1" x14ac:dyDescent="0.25">
      <c r="A12" s="20" t="s">
        <v>30</v>
      </c>
      <c r="B12" s="20"/>
      <c r="C12" s="20"/>
      <c r="D12" s="20"/>
      <c r="E12" s="20"/>
      <c r="F12" s="20"/>
      <c r="G12" s="20"/>
      <c r="H12" s="20"/>
    </row>
    <row r="13" spans="1:8" ht="57.75" customHeight="1" x14ac:dyDescent="0.25">
      <c r="B13" s="6" t="s">
        <v>31</v>
      </c>
      <c r="C13" s="7" t="s">
        <v>32</v>
      </c>
    </row>
    <row r="14" spans="1:8" ht="57.75" customHeight="1" x14ac:dyDescent="0.25">
      <c r="B14" s="6" t="s">
        <v>33</v>
      </c>
      <c r="C14" s="7" t="s">
        <v>34</v>
      </c>
    </row>
    <row r="15" spans="1:8" ht="57.75" customHeight="1" x14ac:dyDescent="0.25">
      <c r="B15" s="6" t="s">
        <v>35</v>
      </c>
      <c r="C15" s="7" t="s">
        <v>36</v>
      </c>
    </row>
    <row r="16" spans="1:8" ht="57.75" customHeight="1" x14ac:dyDescent="0.25">
      <c r="B16" s="6" t="s">
        <v>37</v>
      </c>
      <c r="C16" s="7" t="s">
        <v>38</v>
      </c>
    </row>
    <row r="17" spans="1:8" ht="57.75" customHeight="1" x14ac:dyDescent="0.25">
      <c r="B17" s="6" t="s">
        <v>39</v>
      </c>
      <c r="C17" s="7" t="s">
        <v>40</v>
      </c>
    </row>
    <row r="18" spans="1:8" ht="57.75" customHeight="1" x14ac:dyDescent="0.25">
      <c r="B18" s="14"/>
      <c r="C18" s="1"/>
    </row>
    <row r="19" spans="1:8" ht="57.75" customHeight="1" x14ac:dyDescent="0.25">
      <c r="B19" s="14"/>
      <c r="C19" s="1"/>
    </row>
    <row r="20" spans="1:8" ht="372.75" customHeight="1" x14ac:dyDescent="0.25"/>
    <row r="21" spans="1:8" ht="24" customHeight="1" x14ac:dyDescent="0.25">
      <c r="A21" s="20" t="s">
        <v>41</v>
      </c>
      <c r="B21" s="20"/>
      <c r="C21" s="20"/>
      <c r="D21" s="20"/>
      <c r="E21" s="20"/>
      <c r="F21" s="20"/>
      <c r="G21" s="20"/>
      <c r="H21" s="20"/>
    </row>
    <row r="22" spans="1:8" ht="18" customHeight="1" x14ac:dyDescent="0.25">
      <c r="B22" s="19" t="s">
        <v>42</v>
      </c>
      <c r="C22" s="19"/>
      <c r="D22" s="19"/>
      <c r="E22" s="19"/>
      <c r="F22" s="19"/>
      <c r="G22" s="19"/>
      <c r="H22" s="19"/>
    </row>
    <row r="23" spans="1:8" ht="18" customHeight="1" x14ac:dyDescent="0.25">
      <c r="B23" s="19" t="s">
        <v>43</v>
      </c>
      <c r="C23" s="19"/>
      <c r="D23" s="19"/>
      <c r="E23" s="19"/>
      <c r="F23" s="19"/>
      <c r="G23" s="19"/>
      <c r="H23" s="19"/>
    </row>
    <row r="24" spans="1:8" ht="31.5" customHeight="1" x14ac:dyDescent="0.25">
      <c r="B24" s="19" t="s">
        <v>44</v>
      </c>
      <c r="C24" s="19"/>
      <c r="D24" s="19"/>
      <c r="E24" s="19"/>
      <c r="F24" s="19"/>
      <c r="G24" s="19"/>
      <c r="H24" s="19"/>
    </row>
    <row r="25" spans="1:8" ht="31.5" customHeight="1" x14ac:dyDescent="0.25">
      <c r="B25" s="19" t="s">
        <v>45</v>
      </c>
      <c r="C25" s="19"/>
      <c r="D25" s="19"/>
      <c r="E25" s="19"/>
      <c r="F25" s="19"/>
      <c r="G25" s="19"/>
      <c r="H25" s="19"/>
    </row>
    <row r="26" spans="1:8" ht="15.75" customHeight="1" x14ac:dyDescent="0.25"/>
    <row r="27" spans="1:8" ht="24" customHeight="1" x14ac:dyDescent="0.25">
      <c r="A27" s="20" t="s">
        <v>46</v>
      </c>
      <c r="B27" s="20"/>
      <c r="C27" s="20"/>
      <c r="D27" s="20"/>
      <c r="E27" s="20"/>
      <c r="F27" s="20"/>
      <c r="G27" s="20"/>
      <c r="H27" s="20"/>
    </row>
    <row r="28" spans="1:8" ht="18" customHeight="1" x14ac:dyDescent="0.25">
      <c r="B28" s="19" t="s">
        <v>47</v>
      </c>
      <c r="C28" s="19"/>
      <c r="D28" s="19"/>
      <c r="E28" s="19"/>
      <c r="F28" s="19"/>
      <c r="G28" s="19"/>
      <c r="H28" s="19"/>
    </row>
    <row r="29" spans="1:8" ht="18" customHeight="1" x14ac:dyDescent="0.25">
      <c r="B29" s="19" t="s">
        <v>48</v>
      </c>
      <c r="C29" s="19"/>
      <c r="D29" s="19"/>
      <c r="E29" s="19"/>
      <c r="F29" s="19"/>
      <c r="G29" s="19"/>
      <c r="H29" s="19"/>
    </row>
    <row r="30" spans="1:8" ht="18" customHeight="1" x14ac:dyDescent="0.25">
      <c r="B30" s="19" t="s">
        <v>49</v>
      </c>
      <c r="C30" s="19"/>
      <c r="D30" s="19"/>
      <c r="E30" s="19"/>
      <c r="F30" s="19"/>
      <c r="G30" s="19"/>
      <c r="H30" s="19"/>
    </row>
    <row r="31" spans="1:8" ht="15.75" customHeight="1" x14ac:dyDescent="0.25"/>
    <row r="32" spans="1: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sheetData>
  <sheetProtection sheet="1" objects="1" scenarios="1" selectLockedCells="1"/>
  <mergeCells count="18">
    <mergeCell ref="B30:H30"/>
    <mergeCell ref="B25:H25"/>
    <mergeCell ref="A27:H27"/>
    <mergeCell ref="B28:H28"/>
    <mergeCell ref="B29:H29"/>
    <mergeCell ref="A21:H21"/>
    <mergeCell ref="B22:H22"/>
    <mergeCell ref="B23:H23"/>
    <mergeCell ref="B24:H24"/>
    <mergeCell ref="B8:H8"/>
    <mergeCell ref="B9:H9"/>
    <mergeCell ref="B10:H10"/>
    <mergeCell ref="A12:H12"/>
    <mergeCell ref="A1:H1"/>
    <mergeCell ref="A2:H2"/>
    <mergeCell ref="A4:H4"/>
    <mergeCell ref="A6:H6"/>
    <mergeCell ref="B7:H7"/>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J998"/>
  <sheetViews>
    <sheetView showGridLines="0" topLeftCell="A15" zoomScaleNormal="100" workbookViewId="0">
      <selection activeCell="F21" sqref="F21"/>
    </sheetView>
  </sheetViews>
  <sheetFormatPr defaultColWidth="14.42578125" defaultRowHeight="15" x14ac:dyDescent="0.25"/>
  <cols>
    <col min="1" max="1" width="3" customWidth="1"/>
    <col min="2" max="2" width="24" customWidth="1"/>
    <col min="3" max="5" width="14" customWidth="1"/>
    <col min="6" max="6" width="16" customWidth="1"/>
    <col min="7" max="8" width="14" customWidth="1"/>
    <col min="9" max="9" width="1.5703125" customWidth="1"/>
    <col min="10" max="10" width="52" customWidth="1"/>
  </cols>
  <sheetData>
    <row r="1" spans="1:8" ht="30" customHeight="1" x14ac:dyDescent="0.25">
      <c r="A1" s="17" t="s">
        <v>50</v>
      </c>
      <c r="B1" s="17"/>
      <c r="C1" s="17"/>
      <c r="D1" s="17"/>
      <c r="E1" s="17"/>
      <c r="F1" s="17"/>
      <c r="G1" s="17"/>
      <c r="H1" s="17"/>
    </row>
    <row r="2" spans="1:8" ht="21.75" customHeight="1" x14ac:dyDescent="0.25">
      <c r="A2" s="18" t="s">
        <v>51</v>
      </c>
      <c r="B2" s="18"/>
      <c r="C2" s="18"/>
      <c r="D2" s="18"/>
      <c r="E2" s="18"/>
      <c r="F2" s="18"/>
      <c r="G2" s="18"/>
      <c r="H2" s="18"/>
    </row>
    <row r="4" spans="1:8" ht="43.5" customHeight="1" x14ac:dyDescent="0.25">
      <c r="A4" s="19" t="s">
        <v>52</v>
      </c>
      <c r="B4" s="19"/>
      <c r="C4" s="19"/>
      <c r="D4" s="19"/>
      <c r="E4" s="19"/>
      <c r="F4" s="19"/>
      <c r="G4" s="19"/>
      <c r="H4" s="19"/>
    </row>
    <row r="6" spans="1:8" ht="24" customHeight="1" x14ac:dyDescent="0.25">
      <c r="A6" s="20" t="s">
        <v>53</v>
      </c>
      <c r="B6" s="20"/>
      <c r="C6" s="20"/>
      <c r="D6" s="20"/>
      <c r="E6" s="20"/>
      <c r="F6" s="20"/>
      <c r="G6" s="20"/>
      <c r="H6" s="20"/>
    </row>
    <row r="7" spans="1:8" ht="18" customHeight="1" x14ac:dyDescent="0.25">
      <c r="B7" s="19" t="s">
        <v>54</v>
      </c>
      <c r="C7" s="19"/>
      <c r="D7" s="19"/>
      <c r="E7" s="19"/>
      <c r="F7" s="19"/>
      <c r="G7" s="19"/>
      <c r="H7" s="19"/>
    </row>
    <row r="8" spans="1:8" ht="18" customHeight="1" x14ac:dyDescent="0.25">
      <c r="B8" s="19" t="s">
        <v>55</v>
      </c>
      <c r="C8" s="19"/>
      <c r="D8" s="19"/>
      <c r="E8" s="19"/>
      <c r="F8" s="19"/>
      <c r="G8" s="19"/>
      <c r="H8" s="19"/>
    </row>
    <row r="9" spans="1:8" ht="18" customHeight="1" x14ac:dyDescent="0.25">
      <c r="B9" s="19" t="s">
        <v>56</v>
      </c>
      <c r="C9" s="19"/>
      <c r="D9" s="19"/>
      <c r="E9" s="19"/>
      <c r="F9" s="19"/>
      <c r="G9" s="19"/>
      <c r="H9" s="19"/>
    </row>
    <row r="10" spans="1:8" ht="31.5" customHeight="1" x14ac:dyDescent="0.25">
      <c r="B10" s="19" t="s">
        <v>57</v>
      </c>
      <c r="C10" s="19"/>
      <c r="D10" s="19"/>
      <c r="E10" s="19"/>
      <c r="F10" s="19"/>
      <c r="G10" s="19"/>
      <c r="H10" s="19"/>
    </row>
    <row r="11" spans="1:8" ht="31.5" customHeight="1" x14ac:dyDescent="0.25">
      <c r="B11" s="19" t="s">
        <v>58</v>
      </c>
      <c r="C11" s="19"/>
      <c r="D11" s="19"/>
      <c r="E11" s="19"/>
      <c r="F11" s="19"/>
      <c r="G11" s="19"/>
      <c r="H11" s="19"/>
    </row>
    <row r="12" spans="1:8" ht="18" customHeight="1" x14ac:dyDescent="0.25">
      <c r="B12" s="19" t="s">
        <v>59</v>
      </c>
      <c r="C12" s="19"/>
      <c r="D12" s="19"/>
      <c r="E12" s="19"/>
      <c r="F12" s="19"/>
      <c r="G12" s="19"/>
      <c r="H12" s="19"/>
    </row>
    <row r="13" spans="1:8" ht="18" customHeight="1" x14ac:dyDescent="0.25">
      <c r="B13" s="19" t="s">
        <v>60</v>
      </c>
      <c r="C13" s="19"/>
      <c r="D13" s="19"/>
      <c r="E13" s="19"/>
      <c r="F13" s="19"/>
      <c r="G13" s="19"/>
      <c r="H13" s="19"/>
    </row>
    <row r="15" spans="1:8" ht="168" customHeight="1" x14ac:dyDescent="0.25"/>
    <row r="16" spans="1:8" ht="276" customHeight="1" x14ac:dyDescent="0.25"/>
    <row r="17" spans="1:10" ht="24" customHeight="1" x14ac:dyDescent="0.25">
      <c r="A17" s="20" t="s">
        <v>61</v>
      </c>
      <c r="B17" s="20"/>
      <c r="C17" s="20"/>
      <c r="D17" s="20"/>
      <c r="E17" s="20"/>
      <c r="F17" s="20"/>
      <c r="G17" s="20"/>
      <c r="H17" s="20"/>
    </row>
    <row r="18" spans="1:10" ht="18" customHeight="1" x14ac:dyDescent="0.25">
      <c r="B18" s="22" t="s">
        <v>62</v>
      </c>
      <c r="C18" s="22"/>
      <c r="D18" s="22"/>
      <c r="E18" s="22"/>
      <c r="F18" s="8" t="s">
        <v>63</v>
      </c>
      <c r="G18" s="8" t="s">
        <v>64</v>
      </c>
      <c r="J18" s="9" t="s">
        <v>65</v>
      </c>
    </row>
    <row r="19" spans="1:10" ht="30" customHeight="1" x14ac:dyDescent="0.25">
      <c r="B19" s="23" t="s">
        <v>66</v>
      </c>
      <c r="C19" s="23"/>
      <c r="D19" s="23"/>
      <c r="E19" s="23"/>
      <c r="F19" s="16"/>
      <c r="G19" s="10" t="str">
        <f>IF(F19="","",IF(ISNUMBER(SEARCH("date",F19)),"✓  Correct","✗  Try again"))</f>
        <v/>
      </c>
      <c r="J19" s="11" t="s">
        <v>67</v>
      </c>
    </row>
    <row r="20" spans="1:10" ht="30" customHeight="1" x14ac:dyDescent="0.25">
      <c r="B20" s="23" t="s">
        <v>68</v>
      </c>
      <c r="C20" s="23"/>
      <c r="D20" s="23"/>
      <c r="E20" s="23"/>
      <c r="F20" s="15"/>
      <c r="G20" s="10" t="str">
        <f>IF(F20="","",IF(ISNUMBER(SEARCH("decimal",F20)),"✓  Correct","✗  Try again"))</f>
        <v/>
      </c>
      <c r="J20" s="11" t="s">
        <v>69</v>
      </c>
    </row>
    <row r="21" spans="1:10" ht="30" customHeight="1" x14ac:dyDescent="0.25">
      <c r="B21" s="23" t="s">
        <v>70</v>
      </c>
      <c r="C21" s="23"/>
      <c r="D21" s="23"/>
      <c r="E21" s="23"/>
      <c r="F21" s="15"/>
      <c r="G21" s="10" t="str">
        <f>IF(F21="","",IF(ISNUMBER(SEARCH("whole",F21)),"✓  Correct","✗  Try again"))</f>
        <v/>
      </c>
      <c r="J21" s="11" t="s">
        <v>71</v>
      </c>
    </row>
    <row r="22" spans="1:10" ht="15.75" customHeight="1" x14ac:dyDescent="0.25"/>
    <row r="23" spans="1:10" ht="33.75" customHeight="1" x14ac:dyDescent="0.25">
      <c r="A23" s="21" t="s">
        <v>72</v>
      </c>
      <c r="B23" s="21"/>
      <c r="C23" s="21"/>
      <c r="D23" s="21"/>
      <c r="E23" s="21"/>
      <c r="F23" s="21"/>
      <c r="G23" s="21"/>
      <c r="H23" s="21"/>
    </row>
    <row r="24" spans="1:10" ht="15.75" customHeight="1" x14ac:dyDescent="0.25"/>
    <row r="25" spans="1:10" ht="15.75" customHeight="1" x14ac:dyDescent="0.25"/>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sheetProtection sheet="1" objects="1" scenarios="1" selectLockedCells="1"/>
  <mergeCells count="17">
    <mergeCell ref="B20:E20"/>
    <mergeCell ref="B21:E21"/>
    <mergeCell ref="A23:H23"/>
    <mergeCell ref="B13:H13"/>
    <mergeCell ref="A17:H17"/>
    <mergeCell ref="B18:E18"/>
    <mergeCell ref="B19:E19"/>
    <mergeCell ref="B8:H8"/>
    <mergeCell ref="B9:H9"/>
    <mergeCell ref="B10:H10"/>
    <mergeCell ref="B11:H11"/>
    <mergeCell ref="B12:H12"/>
    <mergeCell ref="A1:H1"/>
    <mergeCell ref="A2:H2"/>
    <mergeCell ref="A4:H4"/>
    <mergeCell ref="A6:H6"/>
    <mergeCell ref="B7:H7"/>
  </mergeCells>
  <conditionalFormatting sqref="G19:G21">
    <cfRule type="expression" dxfId="11" priority="2">
      <formula>ISNUMBER(SEARCH("Correct",G19))</formula>
    </cfRule>
    <cfRule type="expression" dxfId="10" priority="3">
      <formula>ISNUMBER(SEARCH("Try",G19))</formula>
    </cfRule>
  </conditionalFormatting>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A1:H997"/>
  <sheetViews>
    <sheetView showGridLines="0" topLeftCell="A10" zoomScaleNormal="100" workbookViewId="0">
      <selection activeCell="B17" sqref="B17"/>
    </sheetView>
  </sheetViews>
  <sheetFormatPr defaultColWidth="14.42578125" defaultRowHeight="15" x14ac:dyDescent="0.25"/>
  <cols>
    <col min="1" max="1" width="3" customWidth="1"/>
    <col min="2" max="2" width="24" customWidth="1"/>
    <col min="3" max="5" width="14" customWidth="1"/>
    <col min="6" max="6" width="16" customWidth="1"/>
    <col min="7" max="8" width="14" customWidth="1"/>
  </cols>
  <sheetData>
    <row r="1" spans="1:8" ht="30" customHeight="1" x14ac:dyDescent="0.25">
      <c r="A1" s="17" t="s">
        <v>73</v>
      </c>
      <c r="B1" s="17"/>
      <c r="C1" s="17"/>
      <c r="D1" s="17"/>
      <c r="E1" s="17"/>
      <c r="F1" s="17"/>
      <c r="G1" s="17"/>
      <c r="H1" s="17"/>
    </row>
    <row r="2" spans="1:8" ht="21.75" customHeight="1" x14ac:dyDescent="0.25">
      <c r="A2" s="18" t="s">
        <v>74</v>
      </c>
      <c r="B2" s="18"/>
      <c r="C2" s="18"/>
      <c r="D2" s="18"/>
      <c r="E2" s="18"/>
      <c r="F2" s="18"/>
      <c r="G2" s="18"/>
      <c r="H2" s="18"/>
    </row>
    <row r="4" spans="1:8" ht="43.5" customHeight="1" x14ac:dyDescent="0.25">
      <c r="A4" s="19" t="s">
        <v>75</v>
      </c>
      <c r="B4" s="19"/>
      <c r="C4" s="19"/>
      <c r="D4" s="19"/>
      <c r="E4" s="19"/>
      <c r="F4" s="19"/>
      <c r="G4" s="19"/>
      <c r="H4" s="19"/>
    </row>
    <row r="6" spans="1:8" ht="24" customHeight="1" x14ac:dyDescent="0.25">
      <c r="A6" s="20" t="s">
        <v>53</v>
      </c>
      <c r="B6" s="20"/>
      <c r="C6" s="20"/>
      <c r="D6" s="20"/>
      <c r="E6" s="20"/>
      <c r="F6" s="20"/>
      <c r="G6" s="20"/>
      <c r="H6" s="20"/>
    </row>
    <row r="7" spans="1:8" ht="18" customHeight="1" x14ac:dyDescent="0.25">
      <c r="B7" s="19" t="s">
        <v>76</v>
      </c>
      <c r="C7" s="19"/>
      <c r="D7" s="19"/>
      <c r="E7" s="19"/>
      <c r="F7" s="19"/>
      <c r="G7" s="19"/>
      <c r="H7" s="19"/>
    </row>
    <row r="8" spans="1:8" ht="18" customHeight="1" x14ac:dyDescent="0.25">
      <c r="B8" s="19" t="s">
        <v>77</v>
      </c>
      <c r="C8" s="19"/>
      <c r="D8" s="19"/>
      <c r="E8" s="19"/>
      <c r="F8" s="19"/>
      <c r="G8" s="19"/>
      <c r="H8" s="19"/>
    </row>
    <row r="9" spans="1:8" ht="31.5" customHeight="1" x14ac:dyDescent="0.25">
      <c r="B9" s="19" t="s">
        <v>78</v>
      </c>
      <c r="C9" s="19"/>
      <c r="D9" s="19"/>
      <c r="E9" s="19"/>
      <c r="F9" s="19"/>
      <c r="G9" s="19"/>
      <c r="H9" s="19"/>
    </row>
    <row r="10" spans="1:8" ht="18" customHeight="1" x14ac:dyDescent="0.25">
      <c r="B10" s="19" t="s">
        <v>79</v>
      </c>
      <c r="C10" s="19"/>
      <c r="D10" s="19"/>
      <c r="E10" s="19"/>
      <c r="F10" s="19"/>
      <c r="G10" s="19"/>
      <c r="H10" s="19"/>
    </row>
    <row r="11" spans="1:8" ht="32.25" customHeight="1" x14ac:dyDescent="0.25">
      <c r="B11" s="19" t="s">
        <v>80</v>
      </c>
      <c r="C11" s="19"/>
      <c r="D11" s="19"/>
      <c r="E11" s="19"/>
      <c r="F11" s="19"/>
      <c r="G11" s="19"/>
      <c r="H11" s="19"/>
    </row>
    <row r="12" spans="1:8" ht="198" customHeight="1" x14ac:dyDescent="0.25">
      <c r="B12" s="1"/>
      <c r="C12" s="1"/>
      <c r="D12" s="1"/>
      <c r="E12" s="1"/>
      <c r="F12" s="1"/>
      <c r="G12" s="1"/>
      <c r="H12" s="1"/>
    </row>
    <row r="13" spans="1:8" ht="174" customHeight="1" x14ac:dyDescent="0.25"/>
    <row r="14" spans="1:8" ht="24" customHeight="1" x14ac:dyDescent="0.25">
      <c r="A14" s="20" t="s">
        <v>81</v>
      </c>
      <c r="B14" s="20"/>
      <c r="C14" s="20"/>
      <c r="D14" s="20"/>
      <c r="E14" s="20"/>
      <c r="F14" s="20"/>
      <c r="G14" s="20"/>
      <c r="H14" s="20"/>
    </row>
    <row r="15" spans="1:8" ht="21.75" customHeight="1" x14ac:dyDescent="0.25">
      <c r="B15" s="15"/>
      <c r="C15" s="23" t="s">
        <v>82</v>
      </c>
      <c r="D15" s="23"/>
      <c r="E15" s="23"/>
      <c r="F15" s="23"/>
      <c r="G15" s="23"/>
      <c r="H15" s="23"/>
    </row>
    <row r="16" spans="1:8" ht="21.75" customHeight="1" x14ac:dyDescent="0.25">
      <c r="B16" s="15"/>
      <c r="C16" s="23" t="s">
        <v>83</v>
      </c>
      <c r="D16" s="23"/>
      <c r="E16" s="23"/>
      <c r="F16" s="23"/>
      <c r="G16" s="23"/>
      <c r="H16" s="23"/>
    </row>
    <row r="17" spans="1:8" ht="21.75" customHeight="1" x14ac:dyDescent="0.25">
      <c r="B17" s="15"/>
      <c r="C17" s="23" t="s">
        <v>84</v>
      </c>
      <c r="D17" s="23"/>
      <c r="E17" s="23"/>
      <c r="F17" s="23"/>
      <c r="G17" s="23"/>
      <c r="H17" s="23"/>
    </row>
    <row r="18" spans="1:8" ht="15.75" customHeight="1" x14ac:dyDescent="0.25"/>
    <row r="19" spans="1:8" ht="33.75" customHeight="1" x14ac:dyDescent="0.25">
      <c r="A19" s="21" t="s">
        <v>85</v>
      </c>
      <c r="B19" s="21"/>
      <c r="C19" s="21"/>
      <c r="D19" s="21"/>
      <c r="E19" s="21"/>
      <c r="F19" s="21"/>
      <c r="G19" s="21"/>
      <c r="H19" s="21"/>
    </row>
    <row r="20" spans="1:8" ht="15.75" customHeight="1" x14ac:dyDescent="0.25"/>
    <row r="21" spans="1:8" ht="15.75" customHeight="1" x14ac:dyDescent="0.25"/>
    <row r="22" spans="1:8" ht="15.75" customHeight="1" x14ac:dyDescent="0.25"/>
    <row r="23" spans="1:8" ht="15.75" customHeight="1" x14ac:dyDescent="0.25"/>
    <row r="24" spans="1:8" ht="15.75" customHeight="1" x14ac:dyDescent="0.25"/>
    <row r="25" spans="1:8" ht="15.75" customHeight="1" x14ac:dyDescent="0.25"/>
    <row r="26" spans="1:8" ht="15.75" customHeight="1" x14ac:dyDescent="0.25"/>
    <row r="27" spans="1:8" ht="15.75" customHeight="1" x14ac:dyDescent="0.25"/>
    <row r="28" spans="1:8" ht="15.75" customHeight="1" x14ac:dyDescent="0.25"/>
    <row r="29" spans="1:8" ht="15.75" customHeight="1" x14ac:dyDescent="0.25"/>
    <row r="30" spans="1:8" ht="15.75" customHeight="1" x14ac:dyDescent="0.25"/>
    <row r="31" spans="1:8" ht="15.75" customHeight="1" x14ac:dyDescent="0.25"/>
    <row r="32" spans="1: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sheetProtection sheet="1" objects="1" scenarios="1" selectLockedCells="1"/>
  <mergeCells count="14">
    <mergeCell ref="A14:H14"/>
    <mergeCell ref="C15:H15"/>
    <mergeCell ref="C16:H16"/>
    <mergeCell ref="C17:H17"/>
    <mergeCell ref="A19:H19"/>
    <mergeCell ref="B8:H8"/>
    <mergeCell ref="B9:H9"/>
    <mergeCell ref="B10:H10"/>
    <mergeCell ref="B11:H11"/>
    <mergeCell ref="A1:H1"/>
    <mergeCell ref="A2:H2"/>
    <mergeCell ref="A4:H4"/>
    <mergeCell ref="A6:H6"/>
    <mergeCell ref="B7:H7"/>
  </mergeCells>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sheetPr>
  <dimension ref="A1:J998"/>
  <sheetViews>
    <sheetView showGridLines="0" topLeftCell="A13" zoomScaleNormal="100" workbookViewId="0">
      <selection activeCell="F17" sqref="F17"/>
    </sheetView>
  </sheetViews>
  <sheetFormatPr defaultColWidth="14.42578125" defaultRowHeight="15" x14ac:dyDescent="0.25"/>
  <cols>
    <col min="1" max="1" width="3" customWidth="1"/>
    <col min="2" max="2" width="24" customWidth="1"/>
    <col min="3" max="5" width="14" customWidth="1"/>
    <col min="6" max="6" width="16" customWidth="1"/>
    <col min="7" max="8" width="14" customWidth="1"/>
    <col min="9" max="9" width="1.5703125" customWidth="1"/>
    <col min="10" max="10" width="52" customWidth="1"/>
  </cols>
  <sheetData>
    <row r="1" spans="1:10" ht="30" customHeight="1" x14ac:dyDescent="0.25">
      <c r="A1" s="17" t="s">
        <v>86</v>
      </c>
      <c r="B1" s="17"/>
      <c r="C1" s="17"/>
      <c r="D1" s="17"/>
      <c r="E1" s="17"/>
      <c r="F1" s="17"/>
      <c r="G1" s="17"/>
      <c r="H1" s="17"/>
    </row>
    <row r="2" spans="1:10" ht="21.75" customHeight="1" x14ac:dyDescent="0.25">
      <c r="A2" s="18" t="s">
        <v>87</v>
      </c>
      <c r="B2" s="18"/>
      <c r="C2" s="18"/>
      <c r="D2" s="18"/>
      <c r="E2" s="18"/>
      <c r="F2" s="18"/>
      <c r="G2" s="18"/>
      <c r="H2" s="18"/>
    </row>
    <row r="4" spans="1:10" ht="43.5" customHeight="1" x14ac:dyDescent="0.25">
      <c r="A4" s="19" t="s">
        <v>88</v>
      </c>
      <c r="B4" s="19"/>
      <c r="C4" s="19"/>
      <c r="D4" s="19"/>
      <c r="E4" s="19"/>
      <c r="F4" s="19"/>
      <c r="G4" s="19"/>
      <c r="H4" s="19"/>
    </row>
    <row r="6" spans="1:10" ht="24" customHeight="1" x14ac:dyDescent="0.25">
      <c r="A6" s="20" t="s">
        <v>53</v>
      </c>
      <c r="B6" s="20"/>
      <c r="C6" s="20"/>
      <c r="D6" s="20"/>
      <c r="E6" s="20"/>
      <c r="F6" s="20"/>
      <c r="G6" s="20"/>
      <c r="H6" s="20"/>
    </row>
    <row r="7" spans="1:10" ht="18" customHeight="1" x14ac:dyDescent="0.25">
      <c r="B7" s="19" t="s">
        <v>89</v>
      </c>
      <c r="C7" s="19"/>
      <c r="D7" s="19"/>
      <c r="E7" s="19"/>
      <c r="F7" s="19"/>
      <c r="G7" s="19"/>
      <c r="H7" s="19"/>
    </row>
    <row r="8" spans="1:10" ht="18" customHeight="1" x14ac:dyDescent="0.25">
      <c r="B8" s="19" t="s">
        <v>205</v>
      </c>
      <c r="C8" s="19"/>
      <c r="D8" s="19"/>
      <c r="E8" s="19"/>
      <c r="F8" s="19"/>
      <c r="G8" s="19"/>
      <c r="H8" s="19"/>
    </row>
    <row r="9" spans="1:10" ht="18" customHeight="1" x14ac:dyDescent="0.25">
      <c r="B9" s="19" t="s">
        <v>206</v>
      </c>
      <c r="C9" s="19"/>
      <c r="D9" s="19"/>
      <c r="E9" s="19"/>
      <c r="F9" s="19"/>
      <c r="G9" s="19"/>
      <c r="H9" s="19"/>
    </row>
    <row r="10" spans="1:10" ht="18" customHeight="1" x14ac:dyDescent="0.25">
      <c r="B10" s="19" t="s">
        <v>207</v>
      </c>
      <c r="C10" s="19"/>
      <c r="D10" s="19"/>
      <c r="E10" s="19"/>
      <c r="F10" s="19"/>
      <c r="G10" s="19"/>
      <c r="H10" s="19"/>
    </row>
    <row r="11" spans="1:10" ht="18" customHeight="1" x14ac:dyDescent="0.25">
      <c r="B11" s="19" t="s">
        <v>208</v>
      </c>
      <c r="C11" s="19"/>
      <c r="D11" s="19"/>
      <c r="E11" s="19"/>
      <c r="F11" s="19"/>
      <c r="G11" s="19"/>
      <c r="H11" s="19"/>
    </row>
    <row r="13" spans="1:10" ht="259.5" customHeight="1" x14ac:dyDescent="0.25"/>
    <row r="14" spans="1:10" ht="204" customHeight="1" x14ac:dyDescent="0.25"/>
    <row r="15" spans="1:10" ht="24" customHeight="1" x14ac:dyDescent="0.25">
      <c r="A15" s="20" t="s">
        <v>61</v>
      </c>
      <c r="B15" s="20"/>
      <c r="C15" s="20"/>
      <c r="D15" s="20"/>
      <c r="E15" s="20"/>
      <c r="F15" s="20"/>
      <c r="G15" s="20"/>
      <c r="H15" s="20"/>
    </row>
    <row r="16" spans="1:10" ht="18" customHeight="1" x14ac:dyDescent="0.25">
      <c r="B16" s="22" t="s">
        <v>62</v>
      </c>
      <c r="C16" s="22"/>
      <c r="D16" s="22"/>
      <c r="E16" s="22"/>
      <c r="F16" s="8" t="s">
        <v>63</v>
      </c>
      <c r="G16" s="8" t="s">
        <v>64</v>
      </c>
      <c r="J16" s="9" t="s">
        <v>65</v>
      </c>
    </row>
    <row r="17" spans="1:10" ht="30" customHeight="1" x14ac:dyDescent="0.25">
      <c r="B17" s="23" t="s">
        <v>90</v>
      </c>
      <c r="C17" s="23"/>
      <c r="D17" s="23"/>
      <c r="E17" s="23"/>
      <c r="F17" s="15"/>
      <c r="G17" s="10" t="str">
        <f>IF(F17="","",IFERROR(IFERROR(IF(ABS(F17-6)&lt;0.01,"✓  Correct","✗  Try again"),"✗  Try again"),"✗  Try again"))</f>
        <v/>
      </c>
      <c r="J17" s="11" t="s">
        <v>91</v>
      </c>
    </row>
    <row r="19" spans="1:10" ht="33.75" customHeight="1" x14ac:dyDescent="0.25">
      <c r="A19" s="21" t="s">
        <v>92</v>
      </c>
      <c r="B19" s="21"/>
      <c r="C19" s="21"/>
      <c r="D19" s="21"/>
      <c r="E19" s="21"/>
      <c r="F19" s="21"/>
      <c r="G19" s="21"/>
      <c r="H19" s="21"/>
    </row>
    <row r="20" spans="1:10" ht="15.75" customHeight="1" x14ac:dyDescent="0.25"/>
    <row r="21" spans="1:10" ht="15.75" customHeight="1" x14ac:dyDescent="0.25"/>
    <row r="22" spans="1:10" ht="15.75" customHeight="1" x14ac:dyDescent="0.25"/>
    <row r="23" spans="1:10" ht="15.75" customHeight="1" x14ac:dyDescent="0.25"/>
    <row r="24" spans="1:10" ht="15.75" customHeight="1" x14ac:dyDescent="0.25"/>
    <row r="25" spans="1:10" ht="15.75" customHeight="1" x14ac:dyDescent="0.25"/>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sheetProtection sheet="1" objects="1" scenarios="1" selectLockedCells="1"/>
  <mergeCells count="13">
    <mergeCell ref="A15:H15"/>
    <mergeCell ref="B16:E16"/>
    <mergeCell ref="B17:E17"/>
    <mergeCell ref="A19:H19"/>
    <mergeCell ref="B8:H8"/>
    <mergeCell ref="B9:H9"/>
    <mergeCell ref="B10:H10"/>
    <mergeCell ref="B11:H11"/>
    <mergeCell ref="A1:H1"/>
    <mergeCell ref="A2:H2"/>
    <mergeCell ref="A4:H4"/>
    <mergeCell ref="A6:H6"/>
    <mergeCell ref="B7:H7"/>
  </mergeCells>
  <conditionalFormatting sqref="G17">
    <cfRule type="expression" dxfId="9" priority="2">
      <formula>ISNUMBER(SEARCH("Correct",G17))</formula>
    </cfRule>
    <cfRule type="expression" dxfId="8" priority="3">
      <formula>ISNUMBER(SEARCH("Try",G17))</formula>
    </cfRule>
  </conditionalFormatting>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sheetPr>
  <dimension ref="A1:J998"/>
  <sheetViews>
    <sheetView showGridLines="0" topLeftCell="A15" zoomScaleNormal="100" workbookViewId="0">
      <selection activeCell="F18" sqref="F18"/>
    </sheetView>
  </sheetViews>
  <sheetFormatPr defaultColWidth="14.42578125" defaultRowHeight="15" x14ac:dyDescent="0.25"/>
  <cols>
    <col min="1" max="1" width="3" customWidth="1"/>
    <col min="2" max="2" width="24" customWidth="1"/>
    <col min="3" max="5" width="14" customWidth="1"/>
    <col min="6" max="6" width="16" customWidth="1"/>
    <col min="7" max="8" width="14" customWidth="1"/>
    <col min="9" max="9" width="1.5703125" customWidth="1"/>
    <col min="10" max="10" width="52" customWidth="1"/>
  </cols>
  <sheetData>
    <row r="1" spans="1:8" ht="30" customHeight="1" x14ac:dyDescent="0.25">
      <c r="A1" s="17" t="s">
        <v>93</v>
      </c>
      <c r="B1" s="17"/>
      <c r="C1" s="17"/>
      <c r="D1" s="17"/>
      <c r="E1" s="17"/>
      <c r="F1" s="17"/>
      <c r="G1" s="17"/>
      <c r="H1" s="17"/>
    </row>
    <row r="2" spans="1:8" ht="21.75" customHeight="1" x14ac:dyDescent="0.25">
      <c r="A2" s="18" t="s">
        <v>94</v>
      </c>
      <c r="B2" s="18"/>
      <c r="C2" s="18"/>
      <c r="D2" s="18"/>
      <c r="E2" s="18"/>
      <c r="F2" s="18"/>
      <c r="G2" s="18"/>
      <c r="H2" s="18"/>
    </row>
    <row r="4" spans="1:8" ht="43.5" customHeight="1" x14ac:dyDescent="0.25">
      <c r="A4" s="19" t="s">
        <v>95</v>
      </c>
      <c r="B4" s="19"/>
      <c r="C4" s="19"/>
      <c r="D4" s="19"/>
      <c r="E4" s="19"/>
      <c r="F4" s="19"/>
      <c r="G4" s="19"/>
      <c r="H4" s="19"/>
    </row>
    <row r="6" spans="1:8" ht="24" customHeight="1" x14ac:dyDescent="0.25">
      <c r="A6" s="20" t="s">
        <v>53</v>
      </c>
      <c r="B6" s="20"/>
      <c r="C6" s="20"/>
      <c r="D6" s="20"/>
      <c r="E6" s="20"/>
      <c r="F6" s="20"/>
      <c r="G6" s="20"/>
      <c r="H6" s="20"/>
    </row>
    <row r="7" spans="1:8" ht="18" customHeight="1" x14ac:dyDescent="0.25">
      <c r="B7" s="19" t="s">
        <v>96</v>
      </c>
      <c r="C7" s="19"/>
      <c r="D7" s="19"/>
      <c r="E7" s="19"/>
      <c r="F7" s="19"/>
      <c r="G7" s="19"/>
      <c r="H7" s="19"/>
    </row>
    <row r="8" spans="1:8" ht="18" customHeight="1" x14ac:dyDescent="0.25">
      <c r="B8" s="19" t="s">
        <v>97</v>
      </c>
      <c r="C8" s="19"/>
      <c r="D8" s="19"/>
      <c r="E8" s="19"/>
      <c r="F8" s="19"/>
      <c r="G8" s="19"/>
      <c r="H8" s="19"/>
    </row>
    <row r="9" spans="1:8" ht="18" customHeight="1" x14ac:dyDescent="0.25">
      <c r="B9" s="19" t="s">
        <v>98</v>
      </c>
      <c r="C9" s="19"/>
      <c r="D9" s="19"/>
      <c r="E9" s="19"/>
      <c r="F9" s="19"/>
      <c r="G9" s="19"/>
      <c r="H9" s="19"/>
    </row>
    <row r="10" spans="1:8" ht="18" customHeight="1" x14ac:dyDescent="0.25">
      <c r="B10" s="19" t="s">
        <v>99</v>
      </c>
      <c r="C10" s="19"/>
      <c r="D10" s="19"/>
      <c r="E10" s="19"/>
      <c r="F10" s="19"/>
      <c r="G10" s="19"/>
      <c r="H10" s="19"/>
    </row>
    <row r="11" spans="1:8" ht="18" customHeight="1" x14ac:dyDescent="0.25">
      <c r="B11" s="19" t="s">
        <v>100</v>
      </c>
      <c r="C11" s="19"/>
      <c r="D11" s="19"/>
      <c r="E11" s="19"/>
      <c r="F11" s="19"/>
      <c r="G11" s="19"/>
      <c r="H11" s="19"/>
    </row>
    <row r="12" spans="1:8" ht="18" customHeight="1" x14ac:dyDescent="0.25">
      <c r="B12" s="19" t="s">
        <v>101</v>
      </c>
      <c r="C12" s="19"/>
      <c r="D12" s="19"/>
      <c r="E12" s="19"/>
      <c r="F12" s="19"/>
      <c r="G12" s="19"/>
      <c r="H12" s="19"/>
    </row>
    <row r="14" spans="1:8" ht="254.25" customHeight="1" x14ac:dyDescent="0.25"/>
    <row r="15" spans="1:8" ht="217.5" customHeight="1" x14ac:dyDescent="0.25"/>
    <row r="16" spans="1:8" ht="24" customHeight="1" x14ac:dyDescent="0.25">
      <c r="A16" s="20" t="s">
        <v>61</v>
      </c>
      <c r="B16" s="20"/>
      <c r="C16" s="20"/>
      <c r="D16" s="20"/>
      <c r="E16" s="20"/>
      <c r="F16" s="20"/>
      <c r="G16" s="20"/>
      <c r="H16" s="20"/>
    </row>
    <row r="17" spans="1:10" ht="18" customHeight="1" x14ac:dyDescent="0.25">
      <c r="B17" s="22" t="s">
        <v>62</v>
      </c>
      <c r="C17" s="22"/>
      <c r="D17" s="22"/>
      <c r="E17" s="22"/>
      <c r="F17" s="8" t="s">
        <v>63</v>
      </c>
      <c r="G17" s="8" t="s">
        <v>64</v>
      </c>
      <c r="J17" s="9" t="s">
        <v>65</v>
      </c>
    </row>
    <row r="18" spans="1:10" ht="42.75" customHeight="1" x14ac:dyDescent="0.25">
      <c r="B18" s="23" t="s">
        <v>102</v>
      </c>
      <c r="C18" s="23"/>
      <c r="D18" s="23"/>
      <c r="E18" s="23"/>
      <c r="F18" s="15"/>
      <c r="G18" s="10" t="str">
        <f>IF(F18="","",IFERROR(IFERROR(IF(ABS(F18-11)&lt;0.01,"✓  Correct","✗  Try again"),"✗  Try again"),"✗  Try again"))</f>
        <v/>
      </c>
      <c r="J18" s="11" t="s">
        <v>103</v>
      </c>
    </row>
    <row r="19" spans="1:10" ht="15.75" customHeight="1" x14ac:dyDescent="0.25"/>
    <row r="20" spans="1:10" ht="33.75" customHeight="1" x14ac:dyDescent="0.25">
      <c r="A20" s="21" t="s">
        <v>104</v>
      </c>
      <c r="B20" s="21"/>
      <c r="C20" s="21"/>
      <c r="D20" s="21"/>
      <c r="E20" s="21"/>
      <c r="F20" s="21"/>
      <c r="G20" s="21"/>
      <c r="H20" s="21"/>
    </row>
    <row r="21" spans="1:10" ht="15.75" customHeight="1" x14ac:dyDescent="0.25"/>
    <row r="22" spans="1:10" ht="15.75" customHeight="1" x14ac:dyDescent="0.25"/>
    <row r="23" spans="1:10" ht="15.75" customHeight="1" x14ac:dyDescent="0.25"/>
    <row r="24" spans="1:10" ht="15.75" customHeight="1" x14ac:dyDescent="0.25"/>
    <row r="25" spans="1:10" ht="15.75" customHeight="1" x14ac:dyDescent="0.25"/>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sheetProtection sheet="1" objects="1" scenarios="1" selectLockedCells="1"/>
  <mergeCells count="14">
    <mergeCell ref="A16:H16"/>
    <mergeCell ref="B17:E17"/>
    <mergeCell ref="B18:E18"/>
    <mergeCell ref="A20:H20"/>
    <mergeCell ref="B8:H8"/>
    <mergeCell ref="B9:H9"/>
    <mergeCell ref="B10:H10"/>
    <mergeCell ref="B11:H11"/>
    <mergeCell ref="B12:H12"/>
    <mergeCell ref="A1:H1"/>
    <mergeCell ref="A2:H2"/>
    <mergeCell ref="A4:H4"/>
    <mergeCell ref="A6:H6"/>
    <mergeCell ref="B7:H7"/>
  </mergeCells>
  <conditionalFormatting sqref="G18">
    <cfRule type="expression" dxfId="7" priority="2">
      <formula>ISNUMBER(SEARCH("Correct",G18))</formula>
    </cfRule>
    <cfRule type="expression" dxfId="6" priority="3">
      <formula>ISNUMBER(SEARCH("Try",G18))</formula>
    </cfRule>
  </conditionalFormatting>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75B6"/>
  </sheetPr>
  <dimension ref="A1:J998"/>
  <sheetViews>
    <sheetView showGridLines="0" tabSelected="1" topLeftCell="A8" zoomScaleNormal="100" workbookViewId="0">
      <selection activeCell="F18" sqref="F18:F19"/>
    </sheetView>
  </sheetViews>
  <sheetFormatPr defaultColWidth="14.42578125" defaultRowHeight="15" x14ac:dyDescent="0.25"/>
  <cols>
    <col min="1" max="1" width="3" customWidth="1"/>
    <col min="2" max="2" width="24" customWidth="1"/>
    <col min="3" max="5" width="14" customWidth="1"/>
    <col min="6" max="6" width="16" customWidth="1"/>
    <col min="7" max="8" width="14" customWidth="1"/>
    <col min="9" max="9" width="1.5703125" customWidth="1"/>
    <col min="10" max="10" width="52" customWidth="1"/>
  </cols>
  <sheetData>
    <row r="1" spans="1:8" ht="30" customHeight="1" x14ac:dyDescent="0.25">
      <c r="A1" s="17" t="s">
        <v>105</v>
      </c>
      <c r="B1" s="17"/>
      <c r="C1" s="17"/>
      <c r="D1" s="17"/>
      <c r="E1" s="17"/>
      <c r="F1" s="17"/>
      <c r="G1" s="17"/>
      <c r="H1" s="17"/>
    </row>
    <row r="2" spans="1:8" ht="21.75" customHeight="1" x14ac:dyDescent="0.25">
      <c r="A2" s="18" t="s">
        <v>106</v>
      </c>
      <c r="B2" s="18"/>
      <c r="C2" s="18"/>
      <c r="D2" s="18"/>
      <c r="E2" s="18"/>
      <c r="F2" s="18"/>
      <c r="G2" s="18"/>
      <c r="H2" s="18"/>
    </row>
    <row r="4" spans="1:8" ht="43.5" customHeight="1" x14ac:dyDescent="0.25">
      <c r="A4" s="19" t="s">
        <v>107</v>
      </c>
      <c r="B4" s="19"/>
      <c r="C4" s="19"/>
      <c r="D4" s="19"/>
      <c r="E4" s="19"/>
      <c r="F4" s="19"/>
      <c r="G4" s="19"/>
      <c r="H4" s="19"/>
    </row>
    <row r="6" spans="1:8" ht="24" customHeight="1" x14ac:dyDescent="0.25">
      <c r="A6" s="20" t="s">
        <v>53</v>
      </c>
      <c r="B6" s="20"/>
      <c r="C6" s="20"/>
      <c r="D6" s="20"/>
      <c r="E6" s="20"/>
      <c r="F6" s="20"/>
      <c r="G6" s="20"/>
      <c r="H6" s="20"/>
    </row>
    <row r="7" spans="1:8" ht="18" customHeight="1" x14ac:dyDescent="0.25">
      <c r="B7" s="19" t="s">
        <v>108</v>
      </c>
      <c r="C7" s="19"/>
      <c r="D7" s="19"/>
      <c r="E7" s="19"/>
      <c r="F7" s="19"/>
      <c r="G7" s="19"/>
      <c r="H7" s="19"/>
    </row>
    <row r="8" spans="1:8" ht="31.5" customHeight="1" x14ac:dyDescent="0.25">
      <c r="B8" s="19" t="s">
        <v>109</v>
      </c>
      <c r="C8" s="19"/>
      <c r="D8" s="19"/>
      <c r="E8" s="19"/>
      <c r="F8" s="19"/>
      <c r="G8" s="19"/>
      <c r="H8" s="19"/>
    </row>
    <row r="9" spans="1:8" ht="18" customHeight="1" x14ac:dyDescent="0.25">
      <c r="B9" s="19" t="s">
        <v>110</v>
      </c>
      <c r="C9" s="19"/>
      <c r="D9" s="19"/>
      <c r="E9" s="19"/>
      <c r="F9" s="19"/>
      <c r="G9" s="19"/>
      <c r="H9" s="19"/>
    </row>
    <row r="10" spans="1:8" ht="31.5" customHeight="1" x14ac:dyDescent="0.25">
      <c r="B10" s="19" t="s">
        <v>111</v>
      </c>
      <c r="C10" s="19"/>
      <c r="D10" s="19"/>
      <c r="E10" s="19"/>
      <c r="F10" s="19"/>
      <c r="G10" s="19"/>
      <c r="H10" s="19"/>
    </row>
    <row r="11" spans="1:8" ht="18" customHeight="1" x14ac:dyDescent="0.25">
      <c r="B11" s="19" t="s">
        <v>112</v>
      </c>
      <c r="C11" s="19"/>
      <c r="D11" s="19"/>
      <c r="E11" s="19"/>
      <c r="F11" s="19"/>
      <c r="G11" s="19"/>
      <c r="H11" s="19"/>
    </row>
    <row r="12" spans="1:8" ht="48" customHeight="1" x14ac:dyDescent="0.25">
      <c r="B12" s="19" t="s">
        <v>113</v>
      </c>
      <c r="C12" s="19"/>
      <c r="D12" s="19"/>
      <c r="E12" s="19"/>
      <c r="F12" s="19"/>
      <c r="G12" s="19"/>
      <c r="H12" s="19"/>
    </row>
    <row r="13" spans="1:8" ht="48" customHeight="1" x14ac:dyDescent="0.25">
      <c r="B13" s="1"/>
      <c r="C13" s="1"/>
      <c r="D13" s="1"/>
      <c r="E13" s="1"/>
      <c r="F13" s="1"/>
      <c r="G13" s="1"/>
      <c r="H13" s="1"/>
    </row>
    <row r="14" spans="1:8" ht="76.5" customHeight="1" x14ac:dyDescent="0.25">
      <c r="B14" s="1"/>
      <c r="C14" s="1"/>
      <c r="D14" s="1"/>
      <c r="E14" s="1"/>
      <c r="F14" s="1"/>
      <c r="G14" s="1"/>
      <c r="H14" s="1"/>
    </row>
    <row r="15" spans="1:8" ht="392.25" customHeight="1" x14ac:dyDescent="0.25"/>
    <row r="16" spans="1:8" ht="24" customHeight="1" x14ac:dyDescent="0.25">
      <c r="A16" s="20" t="s">
        <v>61</v>
      </c>
      <c r="B16" s="20"/>
      <c r="C16" s="20"/>
      <c r="D16" s="20"/>
      <c r="E16" s="20"/>
      <c r="F16" s="20"/>
      <c r="G16" s="20"/>
      <c r="H16" s="20"/>
    </row>
    <row r="17" spans="1:10" ht="18" customHeight="1" x14ac:dyDescent="0.25">
      <c r="B17" s="22" t="s">
        <v>62</v>
      </c>
      <c r="C17" s="22"/>
      <c r="D17" s="22"/>
      <c r="E17" s="22"/>
      <c r="F17" s="8" t="s">
        <v>63</v>
      </c>
      <c r="G17" s="8" t="s">
        <v>64</v>
      </c>
      <c r="J17" s="9" t="s">
        <v>65</v>
      </c>
    </row>
    <row r="18" spans="1:10" ht="30" customHeight="1" x14ac:dyDescent="0.25">
      <c r="B18" s="23" t="s">
        <v>114</v>
      </c>
      <c r="C18" s="23"/>
      <c r="D18" s="23"/>
      <c r="E18" s="23"/>
      <c r="F18" s="15"/>
      <c r="G18" s="10" t="str">
        <f>IF(F18="","",IFERROR(IFERROR(IF(ABS(F18-1)&lt;0.01,"✓  Correct","✗  Try again"),"✗  Try again"),"✗  Try again"))</f>
        <v/>
      </c>
      <c r="J18" s="11" t="s">
        <v>115</v>
      </c>
    </row>
    <row r="19" spans="1:10" ht="30" customHeight="1" x14ac:dyDescent="0.25">
      <c r="B19" s="23" t="s">
        <v>116</v>
      </c>
      <c r="C19" s="23"/>
      <c r="D19" s="23"/>
      <c r="E19" s="23"/>
      <c r="F19" s="15"/>
      <c r="G19" s="10" t="str">
        <f>IF(F19="","",IFERROR(IFERROR(IF(ABS(F19-0)&lt;0.01,"✓  Correct","✗  Try again"),"✗  Try again"),"✗  Try again"))</f>
        <v/>
      </c>
      <c r="J19" s="11" t="s">
        <v>117</v>
      </c>
    </row>
    <row r="20" spans="1:10" ht="15.75" customHeight="1" x14ac:dyDescent="0.25"/>
    <row r="21" spans="1:10" ht="33.75" customHeight="1" x14ac:dyDescent="0.25">
      <c r="A21" s="21" t="s">
        <v>118</v>
      </c>
      <c r="B21" s="21"/>
      <c r="C21" s="21"/>
      <c r="D21" s="21"/>
      <c r="E21" s="21"/>
      <c r="F21" s="21"/>
      <c r="G21" s="21"/>
      <c r="H21" s="21"/>
    </row>
    <row r="22" spans="1:10" ht="15.75" customHeight="1" x14ac:dyDescent="0.25"/>
    <row r="23" spans="1:10" ht="15.75" customHeight="1" x14ac:dyDescent="0.25"/>
    <row r="24" spans="1:10" ht="15.75" customHeight="1" x14ac:dyDescent="0.25"/>
    <row r="25" spans="1:10" ht="15.75" customHeight="1" x14ac:dyDescent="0.25"/>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sheetProtection sheet="1" objects="1" scenarios="1" selectLockedCells="1"/>
  <mergeCells count="15">
    <mergeCell ref="A21:H21"/>
    <mergeCell ref="A16:H16"/>
    <mergeCell ref="B17:E17"/>
    <mergeCell ref="B18:E18"/>
    <mergeCell ref="B19:E19"/>
    <mergeCell ref="B8:H8"/>
    <mergeCell ref="B9:H9"/>
    <mergeCell ref="B10:H10"/>
    <mergeCell ref="B11:H11"/>
    <mergeCell ref="B12:H12"/>
    <mergeCell ref="A1:H1"/>
    <mergeCell ref="A2:H2"/>
    <mergeCell ref="A4:H4"/>
    <mergeCell ref="A6:H6"/>
    <mergeCell ref="B7:H7"/>
  </mergeCells>
  <conditionalFormatting sqref="G18:G19">
    <cfRule type="expression" dxfId="5" priority="2">
      <formula>ISNUMBER(SEARCH("Correct",G18))</formula>
    </cfRule>
    <cfRule type="expression" dxfId="4" priority="3">
      <formula>ISNUMBER(SEARCH("Try",G18))</formula>
    </cfRule>
  </conditionalFormatting>
  <pageMargins left="0.75" right="0.75" top="1" bottom="1"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75B6"/>
  </sheetPr>
  <dimension ref="A1:J999"/>
  <sheetViews>
    <sheetView showGridLines="0" topLeftCell="A15" zoomScaleNormal="100" workbookViewId="0">
      <selection activeCell="F18" sqref="F18"/>
    </sheetView>
  </sheetViews>
  <sheetFormatPr defaultColWidth="14.42578125" defaultRowHeight="15" x14ac:dyDescent="0.25"/>
  <cols>
    <col min="1" max="1" width="3" customWidth="1"/>
    <col min="2" max="2" width="24" customWidth="1"/>
    <col min="3" max="5" width="14" customWidth="1"/>
    <col min="6" max="6" width="16" customWidth="1"/>
    <col min="7" max="8" width="14" customWidth="1"/>
    <col min="9" max="9" width="1.5703125" customWidth="1"/>
    <col min="10" max="10" width="52" customWidth="1"/>
  </cols>
  <sheetData>
    <row r="1" spans="1:8" ht="30" customHeight="1" x14ac:dyDescent="0.25">
      <c r="A1" s="17" t="s">
        <v>119</v>
      </c>
      <c r="B1" s="17"/>
      <c r="C1" s="17"/>
      <c r="D1" s="17"/>
      <c r="E1" s="17"/>
      <c r="F1" s="17"/>
      <c r="G1" s="17"/>
      <c r="H1" s="17"/>
    </row>
    <row r="2" spans="1:8" ht="21.75" customHeight="1" x14ac:dyDescent="0.25">
      <c r="A2" s="18" t="s">
        <v>120</v>
      </c>
      <c r="B2" s="18"/>
      <c r="C2" s="18"/>
      <c r="D2" s="18"/>
      <c r="E2" s="18"/>
      <c r="F2" s="18"/>
      <c r="G2" s="18"/>
      <c r="H2" s="18"/>
    </row>
    <row r="4" spans="1:8" ht="43.5" customHeight="1" x14ac:dyDescent="0.25">
      <c r="A4" s="19" t="s">
        <v>121</v>
      </c>
      <c r="B4" s="19"/>
      <c r="C4" s="19"/>
      <c r="D4" s="19"/>
      <c r="E4" s="19"/>
      <c r="F4" s="19"/>
      <c r="G4" s="19"/>
      <c r="H4" s="19"/>
    </row>
    <row r="6" spans="1:8" ht="24" customHeight="1" x14ac:dyDescent="0.25">
      <c r="A6" s="20" t="s">
        <v>53</v>
      </c>
      <c r="B6" s="20"/>
      <c r="C6" s="20"/>
      <c r="D6" s="20"/>
      <c r="E6" s="20"/>
      <c r="F6" s="20"/>
      <c r="G6" s="20"/>
      <c r="H6" s="20"/>
    </row>
    <row r="7" spans="1:8" ht="31.5" customHeight="1" x14ac:dyDescent="0.25">
      <c r="B7" s="19" t="s">
        <v>122</v>
      </c>
      <c r="C7" s="19"/>
      <c r="D7" s="19"/>
      <c r="E7" s="19"/>
      <c r="F7" s="19"/>
      <c r="G7" s="19"/>
      <c r="H7" s="19"/>
    </row>
    <row r="8" spans="1:8" ht="18" customHeight="1" x14ac:dyDescent="0.25">
      <c r="B8" s="19" t="s">
        <v>123</v>
      </c>
      <c r="C8" s="19"/>
      <c r="D8" s="19"/>
      <c r="E8" s="19"/>
      <c r="F8" s="19"/>
      <c r="G8" s="19"/>
      <c r="H8" s="19"/>
    </row>
    <row r="9" spans="1:8" ht="18" customHeight="1" x14ac:dyDescent="0.25">
      <c r="B9" s="19" t="s">
        <v>124</v>
      </c>
      <c r="C9" s="19"/>
      <c r="D9" s="19"/>
      <c r="E9" s="19"/>
      <c r="F9" s="19"/>
      <c r="G9" s="19"/>
      <c r="H9" s="19"/>
    </row>
    <row r="10" spans="1:8" ht="31.5" customHeight="1" x14ac:dyDescent="0.25">
      <c r="B10" s="19" t="s">
        <v>125</v>
      </c>
      <c r="C10" s="19"/>
      <c r="D10" s="19"/>
      <c r="E10" s="19"/>
      <c r="F10" s="19"/>
      <c r="G10" s="19"/>
      <c r="H10" s="19"/>
    </row>
    <row r="11" spans="1:8" ht="18" customHeight="1" x14ac:dyDescent="0.25">
      <c r="B11" s="19" t="s">
        <v>126</v>
      </c>
      <c r="C11" s="19"/>
      <c r="D11" s="19"/>
      <c r="E11" s="19"/>
      <c r="F11" s="19"/>
      <c r="G11" s="19"/>
      <c r="H11" s="19"/>
    </row>
    <row r="12" spans="1:8" ht="18" customHeight="1" x14ac:dyDescent="0.25">
      <c r="B12" s="1"/>
      <c r="C12" s="1"/>
      <c r="D12" s="1"/>
      <c r="E12" s="1"/>
      <c r="F12" s="1"/>
      <c r="G12" s="1"/>
      <c r="H12" s="1"/>
    </row>
    <row r="13" spans="1:8" ht="18" customHeight="1" x14ac:dyDescent="0.25">
      <c r="B13" s="1"/>
      <c r="C13" s="1"/>
      <c r="D13" s="1"/>
      <c r="E13" s="1"/>
      <c r="F13" s="1"/>
      <c r="G13" s="1"/>
      <c r="H13" s="1"/>
    </row>
    <row r="15" spans="1:8" ht="382.5" customHeight="1" x14ac:dyDescent="0.25"/>
    <row r="16" spans="1:8" ht="24" customHeight="1" x14ac:dyDescent="0.25">
      <c r="A16" s="20" t="s">
        <v>61</v>
      </c>
      <c r="B16" s="20"/>
      <c r="C16" s="20"/>
      <c r="D16" s="20"/>
      <c r="E16" s="20"/>
      <c r="F16" s="20"/>
      <c r="G16" s="20"/>
      <c r="H16" s="20"/>
    </row>
    <row r="17" spans="1:10" ht="18" customHeight="1" x14ac:dyDescent="0.25">
      <c r="B17" s="22" t="s">
        <v>62</v>
      </c>
      <c r="C17" s="22"/>
      <c r="D17" s="22"/>
      <c r="E17" s="22"/>
      <c r="F17" s="8" t="s">
        <v>63</v>
      </c>
      <c r="G17" s="8" t="s">
        <v>64</v>
      </c>
      <c r="J17" s="9" t="s">
        <v>65</v>
      </c>
    </row>
    <row r="18" spans="1:10" ht="42.75" customHeight="1" x14ac:dyDescent="0.25">
      <c r="B18" s="23" t="s">
        <v>127</v>
      </c>
      <c r="C18" s="23"/>
      <c r="D18" s="23"/>
      <c r="E18" s="23"/>
      <c r="F18" s="15"/>
      <c r="G18" s="10" t="str">
        <f>IF(F18="","",IFERROR(IFERROR(IF(ABS(F18-23)&lt;0.01,"✓  Correct","✗  Try again"),"✗  Try again"),"✗  Try again"))</f>
        <v/>
      </c>
      <c r="J18" s="11" t="s">
        <v>128</v>
      </c>
    </row>
    <row r="20" spans="1:10" ht="33.75" customHeight="1" x14ac:dyDescent="0.25">
      <c r="A20" s="21" t="s">
        <v>129</v>
      </c>
      <c r="B20" s="21"/>
      <c r="C20" s="21"/>
      <c r="D20" s="21"/>
      <c r="E20" s="21"/>
      <c r="F20" s="21"/>
      <c r="G20" s="21"/>
      <c r="H20" s="21"/>
    </row>
    <row r="21" spans="1:10" ht="15.75" customHeight="1" x14ac:dyDescent="0.25"/>
    <row r="22" spans="1:10" ht="15.75" customHeight="1" x14ac:dyDescent="0.25"/>
    <row r="23" spans="1:10" ht="15.75" customHeight="1" x14ac:dyDescent="0.25"/>
    <row r="24" spans="1:10" ht="15.75" customHeight="1" x14ac:dyDescent="0.25"/>
    <row r="25" spans="1:10" ht="15.75" customHeight="1" x14ac:dyDescent="0.25"/>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sheetProtection sheet="1" objects="1" scenarios="1" selectLockedCells="1"/>
  <mergeCells count="13">
    <mergeCell ref="A16:H16"/>
    <mergeCell ref="B17:E17"/>
    <mergeCell ref="B18:E18"/>
    <mergeCell ref="A20:H20"/>
    <mergeCell ref="B8:H8"/>
    <mergeCell ref="B9:H9"/>
    <mergeCell ref="B10:H10"/>
    <mergeCell ref="B11:H11"/>
    <mergeCell ref="A1:H1"/>
    <mergeCell ref="A2:H2"/>
    <mergeCell ref="A4:H4"/>
    <mergeCell ref="A6:H6"/>
    <mergeCell ref="B7:H7"/>
  </mergeCells>
  <conditionalFormatting sqref="G18">
    <cfRule type="expression" dxfId="3" priority="2">
      <formula>ISNUMBER(SEARCH("Correct",G18))</formula>
    </cfRule>
    <cfRule type="expression" dxfId="2" priority="3">
      <formula>ISNUMBER(SEARCH("Try",G18))</formula>
    </cfRule>
  </conditionalFormatting>
  <pageMargins left="0.75" right="0.75" top="1" bottom="1"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235"/>
  </sheetPr>
  <dimension ref="A1:C1000"/>
  <sheetViews>
    <sheetView showGridLines="0" zoomScaleNormal="100" workbookViewId="0">
      <selection sqref="A1:C1"/>
    </sheetView>
  </sheetViews>
  <sheetFormatPr defaultColWidth="14.42578125" defaultRowHeight="15" x14ac:dyDescent="0.25"/>
  <cols>
    <col min="1" max="1" width="3" customWidth="1"/>
    <col min="2" max="2" width="28" customWidth="1"/>
    <col min="3" max="3" width="68" customWidth="1"/>
    <col min="4" max="8" width="8.7109375" customWidth="1"/>
  </cols>
  <sheetData>
    <row r="1" spans="1:3" ht="30" customHeight="1" x14ac:dyDescent="0.25">
      <c r="A1" s="17" t="s">
        <v>130</v>
      </c>
      <c r="B1" s="17"/>
      <c r="C1" s="17"/>
    </row>
    <row r="2" spans="1:3" ht="21.75" customHeight="1" x14ac:dyDescent="0.25">
      <c r="A2" s="18" t="s">
        <v>131</v>
      </c>
      <c r="B2" s="18"/>
      <c r="C2" s="18"/>
    </row>
    <row r="4" spans="1:3" ht="39.75" customHeight="1" x14ac:dyDescent="0.25">
      <c r="B4" s="6" t="s">
        <v>132</v>
      </c>
      <c r="C4" s="7" t="s">
        <v>133</v>
      </c>
    </row>
    <row r="5" spans="1:3" ht="39.75" customHeight="1" x14ac:dyDescent="0.25">
      <c r="B5" s="6" t="s">
        <v>134</v>
      </c>
      <c r="C5" s="7" t="s">
        <v>135</v>
      </c>
    </row>
    <row r="6" spans="1:3" ht="39.75" customHeight="1" x14ac:dyDescent="0.25">
      <c r="B6" s="6" t="s">
        <v>136</v>
      </c>
      <c r="C6" s="7" t="s">
        <v>137</v>
      </c>
    </row>
    <row r="7" spans="1:3" ht="39.75" customHeight="1" x14ac:dyDescent="0.25">
      <c r="B7" s="6" t="s">
        <v>138</v>
      </c>
      <c r="C7" s="7" t="s">
        <v>139</v>
      </c>
    </row>
    <row r="8" spans="1:3" ht="39.75" customHeight="1" x14ac:dyDescent="0.25">
      <c r="B8" s="6" t="s">
        <v>140</v>
      </c>
      <c r="C8" s="7" t="s">
        <v>141</v>
      </c>
    </row>
    <row r="9" spans="1:3" ht="39.75" customHeight="1" x14ac:dyDescent="0.25">
      <c r="B9" s="6" t="s">
        <v>142</v>
      </c>
      <c r="C9" s="7" t="s">
        <v>143</v>
      </c>
    </row>
    <row r="10" spans="1:3" ht="39.75" customHeight="1" x14ac:dyDescent="0.25">
      <c r="B10" s="6" t="s">
        <v>144</v>
      </c>
      <c r="C10" s="7" t="s">
        <v>145</v>
      </c>
    </row>
    <row r="11" spans="1:3" ht="39.75" customHeight="1" x14ac:dyDescent="0.25">
      <c r="B11" s="6" t="s">
        <v>146</v>
      </c>
      <c r="C11" s="7" t="s">
        <v>147</v>
      </c>
    </row>
    <row r="12" spans="1:3" ht="39.75" customHeight="1" x14ac:dyDescent="0.25">
      <c r="B12" s="6" t="s">
        <v>148</v>
      </c>
      <c r="C12" s="7" t="s">
        <v>149</v>
      </c>
    </row>
    <row r="13" spans="1:3" ht="39.75" customHeight="1" x14ac:dyDescent="0.25">
      <c r="B13" s="6" t="s">
        <v>150</v>
      </c>
      <c r="C13" s="7" t="s">
        <v>151</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selectUnlockedCells="1"/>
  <mergeCells count="2">
    <mergeCell ref="A1:C1"/>
    <mergeCell ref="A2:C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55A11"/>
  </sheetPr>
  <dimension ref="A1:H24"/>
  <sheetViews>
    <sheetView showGridLines="0" zoomScaleNormal="100" workbookViewId="0">
      <selection sqref="A1:H1"/>
    </sheetView>
  </sheetViews>
  <sheetFormatPr defaultColWidth="8.7109375" defaultRowHeight="15" x14ac:dyDescent="0.25"/>
  <cols>
    <col min="1" max="1" width="3" customWidth="1"/>
    <col min="2" max="2" width="46" customWidth="1"/>
    <col min="3" max="3" width="10" customWidth="1"/>
    <col min="4" max="4" width="30" customWidth="1"/>
    <col min="5" max="5" width="8" customWidth="1"/>
    <col min="6" max="7" width="14" customWidth="1"/>
    <col min="8" max="8" width="4" customWidth="1"/>
    <col min="9" max="9" width="1.5703125" customWidth="1"/>
    <col min="10" max="10" width="52" customWidth="1"/>
  </cols>
  <sheetData>
    <row r="1" spans="1:8" ht="30" customHeight="1" x14ac:dyDescent="0.25">
      <c r="A1" s="27" t="s">
        <v>152</v>
      </c>
      <c r="B1" s="27"/>
      <c r="C1" s="27"/>
      <c r="D1" s="27"/>
      <c r="E1" s="27"/>
      <c r="F1" s="27"/>
      <c r="G1" s="27"/>
      <c r="H1" s="27"/>
    </row>
    <row r="2" spans="1:8" ht="18" customHeight="1" x14ac:dyDescent="0.25">
      <c r="A2" s="28" t="s">
        <v>153</v>
      </c>
      <c r="B2" s="28"/>
      <c r="C2" s="28"/>
      <c r="D2" s="28"/>
      <c r="E2" s="28"/>
      <c r="F2" s="28"/>
      <c r="G2" s="28"/>
      <c r="H2" s="28"/>
    </row>
    <row r="4" spans="1:8" ht="33.75" customHeight="1" x14ac:dyDescent="0.25">
      <c r="A4" s="21" t="s">
        <v>154</v>
      </c>
      <c r="B4" s="21"/>
      <c r="C4" s="21"/>
      <c r="D4" s="21"/>
      <c r="E4" s="21"/>
      <c r="F4" s="21"/>
      <c r="G4" s="21"/>
      <c r="H4" s="21"/>
    </row>
    <row r="6" spans="1:8" ht="19.5" customHeight="1" x14ac:dyDescent="0.25">
      <c r="A6" s="20" t="s">
        <v>155</v>
      </c>
      <c r="B6" s="20"/>
      <c r="C6" s="20"/>
      <c r="D6" s="20"/>
      <c r="E6" s="20"/>
      <c r="F6" s="20"/>
      <c r="G6" s="20"/>
      <c r="H6" s="20"/>
    </row>
    <row r="7" spans="1:8" ht="15.75" customHeight="1" x14ac:dyDescent="0.25">
      <c r="B7" s="29" t="s">
        <v>156</v>
      </c>
      <c r="C7" s="29"/>
      <c r="D7" s="29"/>
      <c r="E7" s="29"/>
      <c r="F7" s="29"/>
      <c r="G7" s="29"/>
      <c r="H7" s="29"/>
    </row>
    <row r="8" spans="1:8" ht="30" customHeight="1" x14ac:dyDescent="0.25">
      <c r="B8" s="29" t="s">
        <v>157</v>
      </c>
      <c r="C8" s="29"/>
      <c r="D8" s="29"/>
      <c r="E8" s="29"/>
      <c r="F8" s="29"/>
      <c r="G8" s="29"/>
      <c r="H8" s="29"/>
    </row>
    <row r="9" spans="1:8" ht="30" customHeight="1" x14ac:dyDescent="0.25">
      <c r="B9" s="29" t="s">
        <v>158</v>
      </c>
      <c r="C9" s="29"/>
      <c r="D9" s="29"/>
      <c r="E9" s="29"/>
      <c r="F9" s="29"/>
      <c r="G9" s="29"/>
      <c r="H9" s="29"/>
    </row>
    <row r="10" spans="1:8" ht="15.75" customHeight="1" x14ac:dyDescent="0.25">
      <c r="B10" s="29" t="s">
        <v>159</v>
      </c>
      <c r="C10" s="29"/>
      <c r="D10" s="29"/>
      <c r="E10" s="29"/>
      <c r="F10" s="29"/>
      <c r="G10" s="29"/>
      <c r="H10" s="29"/>
    </row>
    <row r="11" spans="1:8" ht="15.75" customHeight="1" x14ac:dyDescent="0.25">
      <c r="B11" s="29" t="s">
        <v>160</v>
      </c>
      <c r="C11" s="29"/>
      <c r="D11" s="29"/>
      <c r="E11" s="29"/>
      <c r="F11" s="29"/>
      <c r="G11" s="29"/>
      <c r="H11" s="29"/>
    </row>
    <row r="12" spans="1:8" ht="30" customHeight="1" x14ac:dyDescent="0.25">
      <c r="B12" s="29" t="s">
        <v>161</v>
      </c>
      <c r="C12" s="29"/>
      <c r="D12" s="29"/>
      <c r="E12" s="29"/>
      <c r="F12" s="29"/>
      <c r="G12" s="29"/>
      <c r="H12" s="29"/>
    </row>
    <row r="14" spans="1:8" ht="19.5" customHeight="1" x14ac:dyDescent="0.25">
      <c r="A14" s="20" t="s">
        <v>162</v>
      </c>
      <c r="B14" s="20"/>
      <c r="C14" s="20"/>
      <c r="D14" s="20"/>
      <c r="E14" s="20"/>
      <c r="F14" s="20"/>
      <c r="G14" s="20"/>
      <c r="H14" s="20"/>
    </row>
    <row r="15" spans="1:8" ht="30" customHeight="1" x14ac:dyDescent="0.25">
      <c r="B15" s="12" t="s">
        <v>163</v>
      </c>
      <c r="C15" s="30" t="s">
        <v>164</v>
      </c>
      <c r="D15" s="30"/>
      <c r="E15" s="30"/>
      <c r="F15" s="30"/>
      <c r="G15" s="30"/>
      <c r="H15" s="30"/>
    </row>
    <row r="16" spans="1:8" ht="30" customHeight="1" x14ac:dyDescent="0.25">
      <c r="B16" s="12" t="s">
        <v>165</v>
      </c>
      <c r="C16" s="30" t="s">
        <v>166</v>
      </c>
      <c r="D16" s="30"/>
      <c r="E16" s="30"/>
      <c r="F16" s="30"/>
      <c r="G16" s="30"/>
      <c r="H16" s="30"/>
    </row>
    <row r="17" spans="1:8" ht="15.75" customHeight="1" x14ac:dyDescent="0.25">
      <c r="B17" s="12" t="s">
        <v>167</v>
      </c>
      <c r="C17" s="30" t="s">
        <v>168</v>
      </c>
      <c r="D17" s="30"/>
      <c r="E17" s="30"/>
      <c r="F17" s="30"/>
      <c r="G17" s="30"/>
      <c r="H17" s="30"/>
    </row>
    <row r="18" spans="1:8" ht="30" customHeight="1" x14ac:dyDescent="0.25">
      <c r="B18" s="12" t="s">
        <v>169</v>
      </c>
      <c r="C18" s="30" t="s">
        <v>170</v>
      </c>
      <c r="D18" s="30"/>
      <c r="E18" s="30"/>
      <c r="F18" s="30"/>
      <c r="G18" s="30"/>
      <c r="H18" s="30"/>
    </row>
    <row r="19" spans="1:8" ht="30" customHeight="1" x14ac:dyDescent="0.25">
      <c r="B19" s="12" t="s">
        <v>171</v>
      </c>
      <c r="C19" s="30" t="s">
        <v>172</v>
      </c>
      <c r="D19" s="30"/>
      <c r="E19" s="30"/>
      <c r="F19" s="30"/>
      <c r="G19" s="30"/>
      <c r="H19" s="30"/>
    </row>
    <row r="20" spans="1:8" ht="30" customHeight="1" x14ac:dyDescent="0.25">
      <c r="B20" s="12" t="s">
        <v>173</v>
      </c>
      <c r="C20" s="30" t="s">
        <v>174</v>
      </c>
      <c r="D20" s="30"/>
      <c r="E20" s="30"/>
      <c r="F20" s="30"/>
      <c r="G20" s="30"/>
      <c r="H20" s="30"/>
    </row>
    <row r="21" spans="1:8" ht="30" customHeight="1" x14ac:dyDescent="0.25">
      <c r="B21" s="12" t="s">
        <v>175</v>
      </c>
      <c r="C21" s="30" t="s">
        <v>176</v>
      </c>
      <c r="D21" s="30"/>
      <c r="E21" s="30"/>
      <c r="F21" s="30"/>
      <c r="G21" s="30"/>
      <c r="H21" s="30"/>
    </row>
    <row r="22" spans="1:8" ht="30" customHeight="1" x14ac:dyDescent="0.25">
      <c r="B22" s="12" t="s">
        <v>177</v>
      </c>
      <c r="C22" s="30" t="s">
        <v>178</v>
      </c>
      <c r="D22" s="30"/>
      <c r="E22" s="30"/>
      <c r="F22" s="30"/>
      <c r="G22" s="30"/>
      <c r="H22" s="30"/>
    </row>
    <row r="24" spans="1:8" ht="48" customHeight="1" x14ac:dyDescent="0.25">
      <c r="A24" s="21" t="s">
        <v>179</v>
      </c>
      <c r="B24" s="21"/>
      <c r="C24" s="21"/>
      <c r="D24" s="21"/>
      <c r="E24" s="21"/>
      <c r="F24" s="21"/>
      <c r="G24" s="21"/>
      <c r="H24" s="21"/>
    </row>
  </sheetData>
  <sheetProtection sheet="1" objects="1" scenarios="1" selectLockedCells="1" selectUnlockedCells="1"/>
  <mergeCells count="20">
    <mergeCell ref="C19:H19"/>
    <mergeCell ref="C20:H20"/>
    <mergeCell ref="C21:H21"/>
    <mergeCell ref="C22:H22"/>
    <mergeCell ref="A24:H24"/>
    <mergeCell ref="A14:H14"/>
    <mergeCell ref="C15:H15"/>
    <mergeCell ref="C16:H16"/>
    <mergeCell ref="C17:H17"/>
    <mergeCell ref="C18:H18"/>
    <mergeCell ref="B8:H8"/>
    <mergeCell ref="B9:H9"/>
    <mergeCell ref="B10:H10"/>
    <mergeCell ref="B11:H11"/>
    <mergeCell ref="B12:H12"/>
    <mergeCell ref="A1:H1"/>
    <mergeCell ref="A2:H2"/>
    <mergeCell ref="A4:H4"/>
    <mergeCell ref="A6:H6"/>
    <mergeCell ref="B7:H7"/>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030A0"/>
  </sheetPr>
  <dimension ref="A1:J1000"/>
  <sheetViews>
    <sheetView showGridLines="0" zoomScaleNormal="100" workbookViewId="0">
      <selection activeCell="D8" sqref="D8:E8"/>
    </sheetView>
  </sheetViews>
  <sheetFormatPr defaultColWidth="14.42578125" defaultRowHeight="15" x14ac:dyDescent="0.25"/>
  <cols>
    <col min="1" max="1" width="3" customWidth="1"/>
    <col min="2" max="2" width="54" customWidth="1"/>
    <col min="3" max="4" width="16" customWidth="1"/>
    <col min="5" max="5" width="36" customWidth="1"/>
    <col min="6" max="8" width="8.7109375" customWidth="1"/>
    <col min="9" max="9" width="1.5703125" customWidth="1"/>
    <col min="10" max="10" width="52" customWidth="1"/>
  </cols>
  <sheetData>
    <row r="1" spans="1:10" ht="30" customHeight="1" x14ac:dyDescent="0.25">
      <c r="A1" s="17" t="s">
        <v>180</v>
      </c>
      <c r="B1" s="17"/>
      <c r="C1" s="17"/>
      <c r="D1" s="17"/>
      <c r="E1" s="17"/>
    </row>
    <row r="2" spans="1:10" ht="21.75" customHeight="1" x14ac:dyDescent="0.25">
      <c r="A2" s="18" t="s">
        <v>181</v>
      </c>
      <c r="B2" s="18"/>
      <c r="C2" s="18"/>
      <c r="D2" s="18"/>
      <c r="E2" s="18"/>
    </row>
    <row r="4" spans="1:10" ht="27.75" customHeight="1" x14ac:dyDescent="0.25">
      <c r="A4" s="19" t="s">
        <v>182</v>
      </c>
      <c r="B4" s="19"/>
      <c r="C4" s="19"/>
      <c r="D4" s="19"/>
      <c r="E4" s="19"/>
    </row>
    <row r="6" spans="1:10" ht="24" customHeight="1" x14ac:dyDescent="0.25">
      <c r="A6" s="20" t="s">
        <v>183</v>
      </c>
      <c r="B6" s="20"/>
      <c r="C6" s="20"/>
      <c r="D6" s="20"/>
      <c r="E6" s="20"/>
    </row>
    <row r="7" spans="1:10" ht="45.75" customHeight="1" x14ac:dyDescent="0.25">
      <c r="B7" s="23" t="s">
        <v>184</v>
      </c>
      <c r="C7" s="23"/>
      <c r="D7" s="31"/>
      <c r="E7" s="31"/>
    </row>
    <row r="8" spans="1:10" ht="45.75" customHeight="1" x14ac:dyDescent="0.25">
      <c r="B8" s="23" t="s">
        <v>185</v>
      </c>
      <c r="C8" s="23"/>
      <c r="D8" s="31"/>
      <c r="E8" s="31"/>
    </row>
    <row r="9" spans="1:10" ht="45.75" customHeight="1" x14ac:dyDescent="0.25">
      <c r="B9" s="23" t="s">
        <v>186</v>
      </c>
      <c r="C9" s="23"/>
      <c r="D9" s="31"/>
      <c r="E9" s="31"/>
    </row>
    <row r="10" spans="1:10" ht="45.75" customHeight="1" x14ac:dyDescent="0.25">
      <c r="B10" s="23" t="s">
        <v>187</v>
      </c>
      <c r="C10" s="23"/>
      <c r="D10" s="31"/>
      <c r="E10" s="31"/>
    </row>
    <row r="12" spans="1:10" ht="24" customHeight="1" x14ac:dyDescent="0.25">
      <c r="A12" s="20" t="s">
        <v>188</v>
      </c>
      <c r="B12" s="20"/>
      <c r="C12" s="20"/>
      <c r="D12" s="20"/>
      <c r="E12" s="20"/>
    </row>
    <row r="13" spans="1:10" ht="18" customHeight="1" x14ac:dyDescent="0.25">
      <c r="B13" s="13" t="s">
        <v>62</v>
      </c>
      <c r="C13" s="8" t="s">
        <v>189</v>
      </c>
      <c r="D13" s="8" t="s">
        <v>64</v>
      </c>
      <c r="J13" s="9" t="s">
        <v>65</v>
      </c>
    </row>
    <row r="14" spans="1:10" ht="30" customHeight="1" x14ac:dyDescent="0.25">
      <c r="B14" s="7" t="s">
        <v>190</v>
      </c>
      <c r="C14" s="15"/>
      <c r="D14" s="10" t="str">
        <f>IF(C14="","",IFERROR(IFERROR(IF(ABS(C14-8)&lt;0.01,"✓  Correct","✗  Try again"),"✗  Try again"),"✗  Try again"))</f>
        <v/>
      </c>
      <c r="J14" s="11" t="s">
        <v>191</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3">
    <mergeCell ref="A12:E12"/>
    <mergeCell ref="B8:C8"/>
    <mergeCell ref="D8:E8"/>
    <mergeCell ref="B9:C9"/>
    <mergeCell ref="D9:E9"/>
    <mergeCell ref="B10:C10"/>
    <mergeCell ref="D10:E10"/>
    <mergeCell ref="A1:E1"/>
    <mergeCell ref="A2:E2"/>
    <mergeCell ref="A4:E4"/>
    <mergeCell ref="A6:E6"/>
    <mergeCell ref="B7:C7"/>
    <mergeCell ref="D7:E7"/>
  </mergeCells>
  <conditionalFormatting sqref="D14">
    <cfRule type="expression" dxfId="1" priority="2">
      <formula>ISNUMBER(SEARCH("Correct",D14))</formula>
    </cfRule>
    <cfRule type="expression" dxfId="0" priority="3">
      <formula>ISNUMBER(SEARCH("Try",D14))</formula>
    </cfRule>
  </conditionalFormatting>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BF8F00"/>
  </sheetPr>
  <dimension ref="A1:T1000"/>
  <sheetViews>
    <sheetView showGridLines="0" zoomScaleNormal="100" workbookViewId="0">
      <selection activeCell="E15" sqref="E15"/>
    </sheetView>
  </sheetViews>
  <sheetFormatPr defaultColWidth="14.42578125" defaultRowHeight="15" x14ac:dyDescent="0.25"/>
  <cols>
    <col min="1" max="1" width="3" customWidth="1"/>
    <col min="2" max="2" width="50" customWidth="1"/>
    <col min="3" max="5" width="16" customWidth="1"/>
    <col min="6" max="6" width="31.7109375" customWidth="1"/>
    <col min="8" max="20" width="3.42578125" customWidth="1"/>
  </cols>
  <sheetData>
    <row r="1" spans="1:20" ht="30" customHeight="1" x14ac:dyDescent="0.25">
      <c r="A1" s="17" t="s">
        <v>192</v>
      </c>
      <c r="B1" s="17"/>
      <c r="C1" s="17"/>
      <c r="D1" s="17"/>
      <c r="E1" s="17"/>
      <c r="F1" s="17"/>
      <c r="H1" s="2" t="s">
        <v>1</v>
      </c>
    </row>
    <row r="2" spans="1:20" ht="21.75" customHeight="1" x14ac:dyDescent="0.25">
      <c r="A2" s="18" t="s">
        <v>193</v>
      </c>
      <c r="B2" s="18"/>
      <c r="C2" s="18"/>
      <c r="D2" s="18"/>
      <c r="E2" s="18"/>
      <c r="F2" s="18"/>
      <c r="H2" s="3">
        <v>1</v>
      </c>
      <c r="I2" s="3">
        <v>2</v>
      </c>
      <c r="J2" s="4">
        <v>3</v>
      </c>
      <c r="K2" s="3">
        <v>4</v>
      </c>
      <c r="L2" s="3">
        <v>5</v>
      </c>
      <c r="M2" s="3">
        <v>6</v>
      </c>
      <c r="N2" s="3">
        <v>7</v>
      </c>
      <c r="O2" s="3">
        <v>8</v>
      </c>
      <c r="P2" s="3">
        <v>9</v>
      </c>
      <c r="Q2" s="3">
        <v>10</v>
      </c>
      <c r="R2" s="3">
        <v>11</v>
      </c>
      <c r="S2" s="3">
        <v>12</v>
      </c>
      <c r="T2" s="3">
        <v>13</v>
      </c>
    </row>
    <row r="4" spans="1:20" ht="24" customHeight="1" x14ac:dyDescent="0.25">
      <c r="A4" s="20" t="s">
        <v>194</v>
      </c>
      <c r="B4" s="20"/>
      <c r="C4" s="20"/>
      <c r="D4" s="20"/>
      <c r="E4" s="20"/>
      <c r="F4" s="20"/>
    </row>
    <row r="5" spans="1:20" ht="18" customHeight="1" x14ac:dyDescent="0.25">
      <c r="A5" s="19" t="s">
        <v>195</v>
      </c>
      <c r="B5" s="19"/>
      <c r="C5" s="19"/>
      <c r="D5" s="19"/>
      <c r="E5" s="19"/>
      <c r="F5" s="19"/>
    </row>
    <row r="6" spans="1:20" ht="24" customHeight="1" x14ac:dyDescent="0.25">
      <c r="C6" s="15"/>
      <c r="D6" s="23" t="s">
        <v>196</v>
      </c>
      <c r="E6" s="23"/>
      <c r="F6" s="23"/>
    </row>
    <row r="7" spans="1:20" ht="24" customHeight="1" x14ac:dyDescent="0.25">
      <c r="C7" s="15"/>
      <c r="D7" s="23" t="s">
        <v>197</v>
      </c>
      <c r="E7" s="23"/>
      <c r="F7" s="23"/>
    </row>
    <row r="8" spans="1:20" ht="24" customHeight="1" x14ac:dyDescent="0.25">
      <c r="C8" s="15"/>
      <c r="D8" s="23" t="s">
        <v>198</v>
      </c>
      <c r="E8" s="23"/>
      <c r="F8" s="23"/>
    </row>
    <row r="9" spans="1:20" ht="24" customHeight="1" x14ac:dyDescent="0.25">
      <c r="C9" s="15"/>
      <c r="D9" s="23" t="s">
        <v>199</v>
      </c>
      <c r="E9" s="23"/>
      <c r="F9" s="23"/>
    </row>
    <row r="10" spans="1:20" ht="24" customHeight="1" x14ac:dyDescent="0.25">
      <c r="C10" s="15"/>
      <c r="D10" s="23" t="s">
        <v>200</v>
      </c>
      <c r="E10" s="23"/>
      <c r="F10" s="23"/>
    </row>
    <row r="12" spans="1:20" ht="24" customHeight="1" x14ac:dyDescent="0.25">
      <c r="A12" s="20" t="s">
        <v>201</v>
      </c>
      <c r="B12" s="20"/>
      <c r="C12" s="20"/>
      <c r="D12" s="20"/>
      <c r="E12" s="20"/>
      <c r="F12" s="20"/>
    </row>
    <row r="13" spans="1:20" ht="18" customHeight="1" x14ac:dyDescent="0.25">
      <c r="A13" s="19" t="s">
        <v>202</v>
      </c>
      <c r="B13" s="19"/>
      <c r="C13" s="19"/>
      <c r="D13" s="19"/>
      <c r="E13" s="19"/>
      <c r="F13" s="19"/>
    </row>
    <row r="14" spans="1:20" ht="18" customHeight="1" x14ac:dyDescent="0.25">
      <c r="B14" s="26" t="s">
        <v>16</v>
      </c>
      <c r="C14" s="26"/>
      <c r="D14" s="26"/>
      <c r="E14" s="5" t="s">
        <v>203</v>
      </c>
    </row>
    <row r="15" spans="1:20" ht="21.75" customHeight="1" x14ac:dyDescent="0.25">
      <c r="B15" s="23" t="s">
        <v>18</v>
      </c>
      <c r="C15" s="23"/>
      <c r="D15" s="23"/>
      <c r="E15" s="15"/>
    </row>
    <row r="16" spans="1:20" ht="21.75" customHeight="1" x14ac:dyDescent="0.25">
      <c r="B16" s="23" t="s">
        <v>19</v>
      </c>
      <c r="C16" s="23"/>
      <c r="D16" s="23"/>
      <c r="E16" s="15"/>
    </row>
    <row r="17" spans="2:6" ht="21.75" customHeight="1" x14ac:dyDescent="0.25">
      <c r="B17" s="23" t="s">
        <v>20</v>
      </c>
      <c r="C17" s="23"/>
      <c r="D17" s="23"/>
      <c r="E17" s="15"/>
    </row>
    <row r="18" spans="2:6" ht="21.75" customHeight="1" x14ac:dyDescent="0.25">
      <c r="B18" s="23" t="s">
        <v>21</v>
      </c>
      <c r="C18" s="23"/>
      <c r="D18" s="23"/>
      <c r="E18" s="15"/>
    </row>
    <row r="20" spans="2:6" ht="15" customHeight="1" x14ac:dyDescent="0.25">
      <c r="B20" s="24" t="s">
        <v>204</v>
      </c>
      <c r="C20" s="24"/>
      <c r="D20" s="24"/>
      <c r="E20" s="24"/>
      <c r="F20" s="24"/>
    </row>
    <row r="21" spans="2:6" ht="15.75" customHeight="1" x14ac:dyDescent="0.25">
      <c r="B21" s="24"/>
      <c r="C21" s="24"/>
      <c r="D21" s="24"/>
      <c r="E21" s="24"/>
      <c r="F21" s="24"/>
    </row>
    <row r="22" spans="2:6" ht="15.75" customHeight="1" x14ac:dyDescent="0.25">
      <c r="B22" s="24"/>
      <c r="C22" s="24"/>
      <c r="D22" s="24"/>
      <c r="E22" s="24"/>
      <c r="F22" s="24"/>
    </row>
    <row r="23" spans="2:6" ht="15.75" customHeight="1" x14ac:dyDescent="0.25"/>
    <row r="24" spans="2:6" ht="15.75" customHeight="1" x14ac:dyDescent="0.25"/>
    <row r="25" spans="2:6" ht="15.75" customHeight="1" x14ac:dyDescent="0.25"/>
    <row r="26" spans="2:6" ht="15.75" customHeight="1" x14ac:dyDescent="0.25"/>
    <row r="27" spans="2:6" ht="15.75" customHeight="1" x14ac:dyDescent="0.25"/>
    <row r="28" spans="2:6" ht="15.75" customHeight="1" x14ac:dyDescent="0.25"/>
    <row r="29" spans="2:6" ht="15.75" customHeight="1" x14ac:dyDescent="0.25"/>
    <row r="30" spans="2:6" ht="15.75" customHeight="1" x14ac:dyDescent="0.25"/>
    <row r="31" spans="2:6" ht="15.75" customHeight="1" x14ac:dyDescent="0.25"/>
    <row r="32" spans="2: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7">
    <mergeCell ref="B18:D18"/>
    <mergeCell ref="B20:F22"/>
    <mergeCell ref="A13:F13"/>
    <mergeCell ref="B14:D14"/>
    <mergeCell ref="B15:D15"/>
    <mergeCell ref="B16:D16"/>
    <mergeCell ref="B17:D17"/>
    <mergeCell ref="D7:F7"/>
    <mergeCell ref="D8:F8"/>
    <mergeCell ref="D9:F9"/>
    <mergeCell ref="D10:F10"/>
    <mergeCell ref="A12:F12"/>
    <mergeCell ref="A1:F1"/>
    <mergeCell ref="A2:F2"/>
    <mergeCell ref="A4:F4"/>
    <mergeCell ref="A5:F5"/>
    <mergeCell ref="D6:F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Start Here</vt:lpstr>
      <vt:lpstr>Power Query - First Look</vt:lpstr>
      <vt:lpstr>Task 1 - Data Types</vt:lpstr>
      <vt:lpstr>Task 2 - Rename</vt:lpstr>
      <vt:lpstr>Task 3 - Remove Columns</vt:lpstr>
      <vt:lpstr>Task 4 - Replace Values</vt:lpstr>
      <vt:lpstr>Task 5 - Handle Nulls</vt:lpstr>
      <vt:lpstr>Task 6 - Remove Duplicates</vt:lpstr>
      <vt:lpstr>Support</vt:lpstr>
      <vt:lpstr>Rescue - If It Goes Wrong</vt:lpstr>
      <vt:lpstr>Stretch</vt:lpstr>
      <vt:lpstr>Confidence &amp; Next 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Michael Chittenden</cp:lastModifiedBy>
  <cp:revision>0</cp:revision>
  <dcterms:created xsi:type="dcterms:W3CDTF">2026-06-10T13:07:27Z</dcterms:created>
  <dcterms:modified xsi:type="dcterms:W3CDTF">2026-06-22T20:23:17Z</dcterms:modified>
  <dc:language>en-US</dc:language>
</cp:coreProperties>
</file>