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training-resources\"/>
    </mc:Choice>
  </mc:AlternateContent>
  <xr:revisionPtr revIDLastSave="0" documentId="8_{3D1E9A1E-68E0-4918-94B2-2F797CFB86A3}" xr6:coauthVersionLast="47" xr6:coauthVersionMax="47" xr10:uidLastSave="{00000000-0000-0000-0000-000000000000}"/>
  <bookViews>
    <workbookView xWindow="28680" yWindow="-120" windowWidth="29040" windowHeight="17520" tabRatio="839" xr2:uid="{00000000-000D-0000-FFFF-FFFF00000000}"/>
  </bookViews>
  <sheets>
    <sheet name="Start Here" sheetId="1" r:id="rId1"/>
    <sheet name="Plan the Dashboard" sheetId="2" r:id="rId2"/>
    <sheet name="Club Data" sheetId="3" r:id="rId3"/>
    <sheet name="Bookings_All" sheetId="4" r:id="rId4"/>
    <sheet name="Task 1 - KPI Cards" sheetId="5" r:id="rId5"/>
    <sheet name="Task 2 - Pivots &amp; Charts" sheetId="6" r:id="rId6"/>
    <sheet name="Task 3 - Connect a Slicer" sheetId="7" r:id="rId7"/>
    <sheet name="Task 4 - Lay Out &amp; Tidy" sheetId="8" r:id="rId8"/>
    <sheet name="Support" sheetId="9" r:id="rId9"/>
    <sheet name="Stretch" sheetId="10" r:id="rId10"/>
    <sheet name="Confidence &amp; Next Steps" sheetId="11" r:id="rId11"/>
  </sheets>
  <definedNames>
    <definedName name="_xlnm._FilterDatabase" localSheetId="3" hidden="1">Bookings_All!$A$4:$E$32</definedName>
    <definedName name="_xlnm._FilterDatabase" localSheetId="2" hidden="1">'Club Data'!$A$4:$I$27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5" i="7" l="1"/>
  <c r="G14" i="7"/>
  <c r="G14" i="6"/>
  <c r="G13" i="6"/>
  <c r="G10" i="5"/>
  <c r="G9" i="5"/>
  <c r="G8" i="5"/>
  <c r="G7" i="5"/>
</calcChain>
</file>

<file path=xl/sharedStrings.xml><?xml version="1.0" encoding="utf-8"?>
<sst xmlns="http://schemas.openxmlformats.org/spreadsheetml/2006/main" count="314" uniqueCount="185">
  <si>
    <t>Module 12  -  Dashboards</t>
  </si>
  <si>
    <t>YOUR JOURNEY</t>
  </si>
  <si>
    <t>One interactive page that answers the club's questions at a glance  -  Self-paced</t>
  </si>
  <si>
    <t>A dashboard pulls your pivots, charts and a few headline numbers onto ONE page, with Slicers so anyone can click and explore. You'll build the pieces (you already know pivots and PivotCharts), add KPI cards, and wire a single Slicer to filter the whole page at once.</t>
  </si>
  <si>
    <t>What makes a dashboard</t>
  </si>
  <si>
    <t>•  KPI cards: a few big single numbers (total members, total revenue...).</t>
  </si>
  <si>
    <t>•  Pivots &amp; PivotCharts: the breakdowns (by type, by method, by activity).</t>
  </si>
  <si>
    <t>•  Slicers connected to several pivots: click once, the whole page filters.</t>
  </si>
  <si>
    <t>•  A clean layout: titles, no gridlines, things lined up.</t>
  </si>
  <si>
    <t>Before you start</t>
  </si>
  <si>
    <t>A dashboard is just the pieces you've already built, arranged tidily and linked. Don't aim for pretty first time - get it working, then tidy. Nothing changes the source data. Breathe (in 4, hold 4, out 6) and build one piece at a time.</t>
  </si>
  <si>
    <t>Your confidence baseline  (1 = not yet, 5 = confident)</t>
  </si>
  <si>
    <t>Statement</t>
  </si>
  <si>
    <t>Rating (1-5)</t>
  </si>
  <si>
    <t>I can make KPI cards (single headline numbers)</t>
  </si>
  <si>
    <t>I can place pivots and PivotCharts on one page</t>
  </si>
  <si>
    <t>I can connect a Slicer to more than one pivot</t>
  </si>
  <si>
    <t>I can lay out a clean, readable dashboard</t>
  </si>
  <si>
    <t>Plan first - what questions does it answer?</t>
  </si>
  <si>
    <t>A dashboard is built backwards from the questions</t>
  </si>
  <si>
    <t>Before clicking anything, decide what the reader needs to see. A good club dashboard answers, at a glance:</t>
  </si>
  <si>
    <t>How big is the club?</t>
  </si>
  <si>
    <t>Headline KPIs: total members, total revenue.</t>
  </si>
  <si>
    <t>Who are the members?</t>
  </si>
  <si>
    <t>A breakdown by membership type (pivot/chart).</t>
  </si>
  <si>
    <t>How do they pay?</t>
  </si>
  <si>
    <t>A breakdown of payments by method.</t>
  </si>
  <si>
    <t>What do they do?</t>
  </si>
  <si>
    <t>Bookings by activity (chart).</t>
  </si>
  <si>
    <t>Let me explore</t>
  </si>
  <si>
    <t>A Slicer (e.g. membership type) that refilters everything.</t>
  </si>
  <si>
    <t>Tip: sketch the layout on paper first - KPIs across the top, charts below, slicer down one side. Build to the sketch.</t>
  </si>
  <si>
    <t>Data: Club Data</t>
  </si>
  <si>
    <t>Your blended member table - the source for the KPI cards and most pivots.</t>
  </si>
  <si>
    <t>MemberID</t>
  </si>
  <si>
    <t>Name</t>
  </si>
  <si>
    <t>MembershipType</t>
  </si>
  <si>
    <t>JoinYear</t>
  </si>
  <si>
    <t>MemberSegment</t>
  </si>
  <si>
    <t>Tenure</t>
  </si>
  <si>
    <t>Amount</t>
  </si>
  <si>
    <t>Method</t>
  </si>
  <si>
    <t>AmountReview</t>
  </si>
  <si>
    <t>Aisha Khan</t>
  </si>
  <si>
    <t>Adult</t>
  </si>
  <si>
    <t>Full</t>
  </si>
  <si>
    <t>Established</t>
  </si>
  <si>
    <t>Direct Debit</t>
  </si>
  <si>
    <t>Standard</t>
  </si>
  <si>
    <t>Tom Reilly</t>
  </si>
  <si>
    <t>Family</t>
  </si>
  <si>
    <t>Household</t>
  </si>
  <si>
    <t>High</t>
  </si>
  <si>
    <t>Grace O'Neil</t>
  </si>
  <si>
    <t>Junior</t>
  </si>
  <si>
    <t>Concession</t>
  </si>
  <si>
    <t>Recent</t>
  </si>
  <si>
    <t>Card</t>
  </si>
  <si>
    <t>Low</t>
  </si>
  <si>
    <t>David Patel</t>
  </si>
  <si>
    <t>Senior</t>
  </si>
  <si>
    <t>Veteran</t>
  </si>
  <si>
    <t>Maria Santos</t>
  </si>
  <si>
    <t>Liam Walsh</t>
  </si>
  <si>
    <t>Cash</t>
  </si>
  <si>
    <t>Chloe Bennett</t>
  </si>
  <si>
    <t>Noah Fischer</t>
  </si>
  <si>
    <t>Priya Sharma</t>
  </si>
  <si>
    <t>James Murray</t>
  </si>
  <si>
    <t>Sofia Rossi</t>
  </si>
  <si>
    <t>Ben Carter</t>
  </si>
  <si>
    <t>Hannah Lee</t>
  </si>
  <si>
    <t>Omar Hassan</t>
  </si>
  <si>
    <t>Ella Thompson</t>
  </si>
  <si>
    <t>Escalate</t>
  </si>
  <si>
    <t>Jack Robinson</t>
  </si>
  <si>
    <t>Mia Nguyen</t>
  </si>
  <si>
    <t>Daniel Clarke</t>
  </si>
  <si>
    <t>Zara Ahmed</t>
  </si>
  <si>
    <t>Lucas Meyer</t>
  </si>
  <si>
    <t>Freya Scott</t>
  </si>
  <si>
    <t>Adam Foster</t>
  </si>
  <si>
    <t>Isla Murphy</t>
  </si>
  <si>
    <t>Data: Bookings_All</t>
  </si>
  <si>
    <t>Your appended bookings - for the activity chart.</t>
  </si>
  <si>
    <t>BookingID</t>
  </si>
  <si>
    <t>Activity</t>
  </si>
  <si>
    <t>Date</t>
  </si>
  <si>
    <t>DurationMins</t>
  </si>
  <si>
    <t>Swimming</t>
  </si>
  <si>
    <t>Tennis</t>
  </si>
  <si>
    <t>Gym</t>
  </si>
  <si>
    <t>Yoga</t>
  </si>
  <si>
    <t>Squash</t>
  </si>
  <si>
    <t>Task 1 - KPI cards</t>
  </si>
  <si>
    <t>The headline numbers, built with formulas</t>
  </si>
  <si>
    <t>KPI cards are just cells with a big number and a label. Build them with the formulas you know. Amount=Club Data!G5:G27, MemberID=Club Data!A5:A27, bookings on Bookings_All. (On the real dashboard you'd make the number large and add a label above it.)</t>
  </si>
  <si>
    <t>Build this KPI cell</t>
  </si>
  <si>
    <t>Type this kind of formula</t>
  </si>
  <si>
    <t>Your result</t>
  </si>
  <si>
    <t>Check</t>
  </si>
  <si>
    <t>🧭 Explore further</t>
  </si>
  <si>
    <t>Total members</t>
  </si>
  <si>
    <t>e.g.  =COUNTA('Club Data'!A5:A27)</t>
  </si>
  <si>
    <t>Explore: build a live caption with ="Total revenue: "&amp;TEXT(SUM('Club Data'!G5:G27),"£#,##0") — text and number in one cell. KPI cards that explain themselves.</t>
  </si>
  <si>
    <t>Total revenue (all payments)</t>
  </si>
  <si>
    <t>e.g.  =SUM('Club Data'!G5:G27)</t>
  </si>
  <si>
    <t>Average payment</t>
  </si>
  <si>
    <t>e.g.  =AVERAGE('Club Data'!G5:G27)</t>
  </si>
  <si>
    <t>Total bookings</t>
  </si>
  <si>
    <t>e.g.  =COUNTA(Bookings_All!A5:A32)</t>
  </si>
  <si>
    <t>💡  Format a KPI to stand out: big bold number, small grey label above, a light fill, a border. Four of these across the top makes the dashboard header.</t>
  </si>
  <si>
    <t>Task 2 - Add the breakdowns</t>
  </si>
  <si>
    <t>Pivots and PivotCharts (from Module 11)</t>
  </si>
  <si>
    <t>Build three small pivots, each with a PivotChart, on their own helper sheet. You'll arrange them on the dashboard in Task 4.</t>
  </si>
  <si>
    <t>①  Members by type: pivot from Club Data, MembershipType in Rows, Count of MemberID in Values; add a PivotChart (bar).</t>
  </si>
  <si>
    <t>②  Payments by method: Method in Rows, Sum of Amount in Values; add a PivotChart (bar or pie).</t>
  </si>
  <si>
    <t>③  Bookings by activity: pivot from Bookings_All, Activity in Rows, Count of BookingID in Values; add a PivotChart.</t>
  </si>
  <si>
    <t>④  Keep each chart small and give it a clear title.</t>
  </si>
  <si>
    <t>Check it</t>
  </si>
  <si>
    <t>Read this off your dashboard</t>
  </si>
  <si>
    <t>Your answer</t>
  </si>
  <si>
    <t>From the activity chart, which activity is most booked? (one word)</t>
  </si>
  <si>
    <t>Explore: click an empty cell, type = , then click a pivot value — Excel writes GETPIVOTDATA. That's how KPI cards stay live even when the pivot is rearranged.</t>
  </si>
  <si>
    <t>From the payments chart, total revenue (sum of all methods)</t>
  </si>
  <si>
    <t>Task 3 - One Slicer, many pivots</t>
  </si>
  <si>
    <t>Click once, the whole dashboard filters</t>
  </si>
  <si>
    <t>A Slicer can control SEVERAL pivots at once - if they share the same data and you connect them. This is what makes a dashboard interactive.</t>
  </si>
  <si>
    <t>①  Click one of your Club Data pivots &gt; PivotTable Analyze &gt; Insert Slicer &gt; tick 'MembershipType' &gt; OK.</t>
  </si>
  <si>
    <t>②  Right-click the slicer &gt; 'Report Connections' (or 'PivotTable Connections').</t>
  </si>
  <si>
    <t>③  Tick EVERY pivot that comes from Club Data, then OK. The slicer now drives them all.</t>
  </si>
  <si>
    <t>④  Click 'Adult' on the slicer. Watch the members pivot and the revenue numbers update together.</t>
  </si>
  <si>
    <t>⑤  Read the revenue total while 'Adult' is selected.</t>
  </si>
  <si>
    <t>With the slicer on 'Adult', total revenue from Adult members</t>
  </si>
  <si>
    <t>Explore: with 'Adult' selected, the revenue KPI shows 630 — including the 350 outlier. Add an Average card next to it and watch how one member distorts a filtered view too.</t>
  </si>
  <si>
    <t>With the slicer on 'Adult', how many members are shown</t>
  </si>
  <si>
    <t>💡  Only pivots built from the SAME data can share a slicer. The bookings pivot (different table) won't connect to a Club Data slicer - that's expected.</t>
  </si>
  <si>
    <t>Task 4 - Lay out and tidy</t>
  </si>
  <si>
    <t>Bring it onto one clean page</t>
  </si>
  <si>
    <t>Now assemble. Move the KPI cards, charts and slicer onto one sheet and make it readable. Tick each as you go.</t>
  </si>
  <si>
    <t>Put the four KPI cards in a row across the top.</t>
  </si>
  <si>
    <t>Place the PivotCharts below, lined up in a grid.</t>
  </si>
  <si>
    <t>Put the Slicer down the left or right side.</t>
  </si>
  <si>
    <t>Add a dashboard title at the very top.</t>
  </si>
  <si>
    <t>View tab &gt; untick Gridlines for a clean background.</t>
  </si>
  <si>
    <t>Check it works: click a slicer value and confirm the KPIs and charts all move together.</t>
  </si>
  <si>
    <t>Support - dashboard quick reference</t>
  </si>
  <si>
    <t>The handful of moves you need.</t>
  </si>
  <si>
    <t>KPI card</t>
  </si>
  <si>
    <t>A cell with a SUM/COUNT/AVERAGE formula, made big and bold, with a small label above it.</t>
  </si>
  <si>
    <t>Insert a Slicer</t>
  </si>
  <si>
    <t>Select a pivot &gt; PivotTable Analyze &gt; Insert Slicer &gt; tick a field &gt; OK.</t>
  </si>
  <si>
    <t>Connect a slicer to many pivots</t>
  </si>
  <si>
    <t>Right-click the slicer &gt; Report Connections (PivotTable Connections) &gt; tick every pivot to control &gt; OK. They must share the same source data.</t>
  </si>
  <si>
    <t>Move a chart / slicer</t>
  </si>
  <si>
    <t>Click it and drag, or use the arrow keys. Hold Alt while dragging to snap to the cell grid.</t>
  </si>
  <si>
    <t>Hide gridlines</t>
  </si>
  <si>
    <t>View tab &gt; untick Gridlines (makes it look like a dashboard, not a sheet).</t>
  </si>
  <si>
    <t>Add a title</t>
  </si>
  <si>
    <t>Type in a top cell, make it large/bold, merge a few cells across.</t>
  </si>
  <si>
    <t>Refresh everything</t>
  </si>
  <si>
    <t>PivotTable Analyze &gt; Refresh All if the data changes.</t>
  </si>
  <si>
    <t>Keep it simple</t>
  </si>
  <si>
    <t>A few clear KPIs and charts beat a cluttered page. White space is your friend.</t>
  </si>
  <si>
    <t>Stretch - polish and judgement</t>
  </si>
  <si>
    <t>A second slicer, and designing for the reader</t>
  </si>
  <si>
    <t>Add a SECOND slicer (e.g. Tenure) connected to the same pivots, so the reader can filter by two things at once. Then reflect:</t>
  </si>
  <si>
    <t>Reasoning prompts (write your own - no marking)</t>
  </si>
  <si>
    <t>Who is this dashboard FOR (a manager? the committee?), and how would that change what you put on it?</t>
  </si>
  <si>
    <t>Why connect a slicer to several pivots rather than giving each pivot its own filter?</t>
  </si>
  <si>
    <t>A dashboard can mislead as well as inform. Name one design choice (a chart type, an axis, a filter left on) that could give a false impression.</t>
  </si>
  <si>
    <t>Why is 'refresh' a risk on a dashboard someone else will open next month?</t>
  </si>
  <si>
    <t>Confidence &amp; Next Steps</t>
  </si>
  <si>
    <t>Your readiness gate for Module 13</t>
  </si>
  <si>
    <t>Mastery gate - ready for Module 13 when you can honestly tick all of these</t>
  </si>
  <si>
    <t>Type x in each yellow box you can tick.</t>
  </si>
  <si>
    <t>I built KPI cards with formulas</t>
  </si>
  <si>
    <t>I placed pivots and PivotCharts on one page</t>
  </si>
  <si>
    <t>I connected one Slicer to several pivots</t>
  </si>
  <si>
    <t>Clicking the slicer filters the whole dashboard together</t>
  </si>
  <si>
    <t>My dashboard has a title, no gridlines, and a tidy layout</t>
  </si>
  <si>
    <t>Re-rate your confidence (compare with your baseline)</t>
  </si>
  <si>
    <t>Seeing these rise from your Module 12 baseline is the goal.</t>
  </si>
  <si>
    <t>Now (1-5)</t>
  </si>
  <si>
    <t>Next up - Module 13: Auditing &amp; Validation. You'll turn these analysis skills into CHECKS - reconciling each member's expected fee against what they actually paid, and catching member 1015's 350 mismatch. The capstone of the analysis block.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</si>
</sst>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£#,##0"/>
    <numFmt numFmtId="165" formatCode="yyyy\-mm\-dd"/>
  </numFmts>
  <fonts count="18" x14ac:knownFonts="1">
    <font>
      <sz val="11"/>
      <color theme="1"/>
      <name val="Calibri"/>
      <charset val="1"/>
    </font>
    <font>
      <b/>
      <sz val="18"/>
      <color rgb="FFFFFFFF"/>
      <name val="Arial"/>
      <family val="2"/>
    </font>
    <font>
      <b/>
      <sz val="7"/>
      <color rgb="FF8C8C8C"/>
      <name val="Arial"/>
      <family val="2"/>
    </font>
    <font>
      <sz val="11"/>
      <color rgb="FFFFFFFF"/>
      <name val="Arial"/>
      <family val="2"/>
    </font>
    <font>
      <sz val="8"/>
      <color rgb="FF595959"/>
      <name val="Arial"/>
      <family val="2"/>
    </font>
    <font>
      <b/>
      <sz val="8"/>
      <color rgb="FFFFFFFF"/>
      <name val="Arial"/>
      <family val="2"/>
    </font>
    <font>
      <sz val="11"/>
      <color rgb="FF000000"/>
      <name val="Arial"/>
      <family val="2"/>
    </font>
    <font>
      <b/>
      <sz val="12"/>
      <color rgb="FF1F3B57"/>
      <name val="Arial"/>
      <family val="2"/>
    </font>
    <font>
      <sz val="11"/>
      <color rgb="FF006100"/>
      <name val="Arial"/>
      <family val="2"/>
    </font>
    <font>
      <b/>
      <sz val="10.5"/>
      <color rgb="FFFFFFFF"/>
      <name val="Arial"/>
      <family val="2"/>
    </font>
    <font>
      <b/>
      <sz val="11"/>
      <color rgb="FF1F3B57"/>
      <name val="Arial"/>
      <family val="2"/>
    </font>
    <font>
      <sz val="11"/>
      <color rgb="FF2E8B8B"/>
      <name val="Arial"/>
      <family val="2"/>
    </font>
    <font>
      <b/>
      <sz val="11"/>
      <color rgb="FFFFFFFF"/>
      <name val="Arial"/>
      <family val="2"/>
    </font>
    <font>
      <b/>
      <sz val="10"/>
      <color rgb="FF1F6B6B"/>
      <name val="Arial"/>
      <family val="2"/>
    </font>
    <font>
      <i/>
      <sz val="10"/>
      <color rgb="FF555555"/>
      <name val="Arial"/>
      <family val="2"/>
    </font>
    <font>
      <b/>
      <sz val="11"/>
      <name val="Arial"/>
      <family val="2"/>
    </font>
    <font>
      <i/>
      <sz val="9.5"/>
      <color rgb="FF3F6363"/>
      <name val="Arial"/>
      <family val="2"/>
    </font>
    <font>
      <sz val="10.5"/>
      <color rgb="FF5B4A1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3B57"/>
        <bgColor rgb="FF003366"/>
      </patternFill>
    </fill>
    <fill>
      <patternFill patternType="solid">
        <fgColor rgb="FF2E8B8B"/>
        <bgColor rgb="FF2E75B6"/>
      </patternFill>
    </fill>
    <fill>
      <patternFill patternType="solid">
        <fgColor rgb="FFE2E6EA"/>
        <bgColor rgb="FFEAF2F2"/>
      </patternFill>
    </fill>
    <fill>
      <patternFill patternType="solid">
        <fgColor rgb="FFEAF2F2"/>
        <bgColor rgb="FFEFF6F6"/>
      </patternFill>
    </fill>
    <fill>
      <patternFill patternType="solid">
        <fgColor rgb="FFC6EFCE"/>
        <bgColor rgb="FFE2E6EA"/>
      </patternFill>
    </fill>
    <fill>
      <patternFill patternType="solid">
        <fgColor rgb="FFFFF3C4"/>
        <bgColor rgb="FFFDF4E3"/>
      </patternFill>
    </fill>
    <fill>
      <patternFill patternType="solid">
        <fgColor rgb="FFF2F7F7"/>
        <bgColor rgb="FFEFF6F6"/>
      </patternFill>
    </fill>
    <fill>
      <patternFill patternType="solid">
        <fgColor rgb="FFFFFFFF"/>
        <bgColor rgb="FFF2F7F7"/>
      </patternFill>
    </fill>
    <fill>
      <patternFill patternType="solid">
        <fgColor rgb="FFEFF6F6"/>
        <bgColor rgb="FFF2F7F7"/>
      </patternFill>
    </fill>
    <fill>
      <patternFill patternType="solid">
        <fgColor rgb="FFFDF4E3"/>
        <bgColor rgb="FFF5F5F5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2E8B8B"/>
      </bottom>
      <diagonal/>
    </border>
    <border>
      <left style="thick">
        <color rgb="FF2E8B8B"/>
      </left>
      <right/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2E8B8B"/>
      </left>
      <right style="hair">
        <color rgb="FF9DC3C3"/>
      </right>
      <top style="hair">
        <color rgb="FF9DC3C3"/>
      </top>
      <bottom style="hair">
        <color rgb="FF9DC3C3"/>
      </bottom>
      <diagonal/>
    </border>
    <border>
      <left style="thick">
        <color rgb="FFE8A33D"/>
      </left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7" fillId="11" borderId="8" xfId="0" applyFont="1" applyFill="1" applyBorder="1" applyAlignment="1">
      <alignment vertical="top" wrapText="1"/>
    </xf>
    <xf numFmtId="0" fontId="16" fillId="10" borderId="7" xfId="0" applyFont="1" applyFill="1" applyBorder="1" applyAlignment="1">
      <alignment vertical="top" wrapText="1"/>
    </xf>
    <xf numFmtId="0" fontId="14" fillId="0" borderId="4" xfId="0" applyFont="1" applyBorder="1" applyAlignment="1">
      <alignment vertical="top" wrapText="1"/>
    </xf>
    <xf numFmtId="0" fontId="9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9" fillId="2" borderId="0" xfId="0" applyFont="1" applyFill="1" applyAlignment="1">
      <alignment vertical="center" wrapText="1" indent="1"/>
    </xf>
    <xf numFmtId="0" fontId="8" fillId="6" borderId="3" xfId="0" applyFont="1" applyFill="1" applyBorder="1" applyAlignment="1">
      <alignment vertical="top" wrapText="1"/>
    </xf>
    <xf numFmtId="0" fontId="7" fillId="5" borderId="2" xfId="0" applyFont="1" applyFill="1" applyBorder="1" applyAlignment="1">
      <alignment vertical="center" indent="1"/>
    </xf>
    <xf numFmtId="0" fontId="6" fillId="0" borderId="0" xfId="0" applyFont="1" applyAlignment="1">
      <alignment vertical="top" wrapText="1"/>
    </xf>
    <xf numFmtId="0" fontId="3" fillId="3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4" fillId="4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 wrapText="1"/>
    </xf>
    <xf numFmtId="0" fontId="10" fillId="0" borderId="5" xfId="0" applyFont="1" applyBorder="1" applyAlignment="1">
      <alignment vertical="top" wrapText="1"/>
    </xf>
    <xf numFmtId="0" fontId="6" fillId="0" borderId="5" xfId="0" applyFont="1" applyBorder="1" applyAlignment="1">
      <alignment vertical="top" wrapText="1"/>
    </xf>
    <xf numFmtId="0" fontId="12" fillId="2" borderId="1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/>
    </xf>
    <xf numFmtId="0" fontId="6" fillId="8" borderId="6" xfId="0" applyFont="1" applyFill="1" applyBorder="1"/>
    <xf numFmtId="164" fontId="6" fillId="8" borderId="6" xfId="0" applyNumberFormat="1" applyFont="1" applyFill="1" applyBorder="1" applyAlignment="1">
      <alignment horizontal="right"/>
    </xf>
    <xf numFmtId="0" fontId="6" fillId="9" borderId="6" xfId="0" applyFont="1" applyFill="1" applyBorder="1" applyAlignment="1">
      <alignment horizontal="center"/>
    </xf>
    <xf numFmtId="0" fontId="6" fillId="9" borderId="6" xfId="0" applyFont="1" applyFill="1" applyBorder="1"/>
    <xf numFmtId="164" fontId="6" fillId="9" borderId="6" xfId="0" applyNumberFormat="1" applyFont="1" applyFill="1" applyBorder="1" applyAlignment="1">
      <alignment horizontal="right"/>
    </xf>
    <xf numFmtId="165" fontId="6" fillId="8" borderId="6" xfId="0" applyNumberFormat="1" applyFont="1" applyFill="1" applyBorder="1" applyAlignment="1">
      <alignment horizontal="center"/>
    </xf>
    <xf numFmtId="165" fontId="6" fillId="9" borderId="6" xfId="0" applyNumberFormat="1" applyFont="1" applyFill="1" applyBorder="1" applyAlignment="1">
      <alignment horizontal="center"/>
    </xf>
    <xf numFmtId="0" fontId="9" fillId="2" borderId="0" xfId="0" applyFont="1" applyFill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5" fillId="0" borderId="5" xfId="0" applyFont="1" applyBorder="1" applyAlignment="1">
      <alignment horizontal="center" vertical="center"/>
    </xf>
    <xf numFmtId="0" fontId="0" fillId="7" borderId="4" xfId="0" applyFill="1" applyBorder="1" applyAlignment="1" applyProtection="1">
      <alignment horizontal="center" vertical="center"/>
      <protection locked="0"/>
    </xf>
    <xf numFmtId="0" fontId="0" fillId="7" borderId="5" xfId="0" applyFill="1" applyBorder="1" applyAlignment="1" applyProtection="1">
      <alignment horizontal="center" vertical="center"/>
      <protection locked="0"/>
    </xf>
    <xf numFmtId="0" fontId="0" fillId="7" borderId="4" xfId="0" applyFill="1" applyBorder="1" applyAlignment="1" applyProtection="1">
      <alignment vertical="top" wrapText="1"/>
      <protection locked="0"/>
    </xf>
  </cellXfs>
  <cellStyles count="1">
    <cellStyle name="Normal" xfId="0" builtinId="0"/>
  </cellStyles>
  <dxfs count="6">
    <dxf>
      <font>
        <b/>
        <sz val="11"/>
        <color rgb="FF9C0006"/>
        <name val="Arial"/>
        <charset val="1"/>
      </font>
      <fill>
        <patternFill>
          <bgColor rgb="FFFFC7CE"/>
        </patternFill>
      </fill>
    </dxf>
    <dxf>
      <font>
        <b/>
        <sz val="11"/>
        <color rgb="FF006100"/>
        <name val="Arial"/>
        <charset val="1"/>
      </font>
      <fill>
        <patternFill>
          <bgColor rgb="FFC6EFCE"/>
        </patternFill>
      </fill>
    </dxf>
    <dxf>
      <font>
        <b/>
        <sz val="11"/>
        <color rgb="FF9C0006"/>
        <name val="Arial"/>
        <charset val="1"/>
      </font>
      <fill>
        <patternFill>
          <bgColor rgb="FFFFC7CE"/>
        </patternFill>
      </fill>
    </dxf>
    <dxf>
      <font>
        <b/>
        <sz val="11"/>
        <color rgb="FF006100"/>
        <name val="Arial"/>
        <charset val="1"/>
      </font>
      <fill>
        <patternFill>
          <bgColor rgb="FFC6EFCE"/>
        </patternFill>
      </fill>
    </dxf>
    <dxf>
      <font>
        <b/>
        <sz val="11"/>
        <color rgb="FF9C0006"/>
        <name val="Arial"/>
        <charset val="1"/>
      </font>
      <fill>
        <patternFill>
          <bgColor rgb="FFFFC7CE"/>
        </patternFill>
      </fill>
    </dxf>
    <dxf>
      <font>
        <b/>
        <sz val="11"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2F7F7"/>
      <rgbColor rgb="FFFF00FF"/>
      <rgbColor rgb="FF00FFFF"/>
      <rgbColor rgb="FF9C0006"/>
      <rgbColor rgb="FF006100"/>
      <rgbColor rgb="FF000080"/>
      <rgbColor rgb="FF548235"/>
      <rgbColor rgb="FF800080"/>
      <rgbColor rgb="FF1F6B6B"/>
      <rgbColor rgb="FFBFBFBF"/>
      <rgbColor rgb="FF7F7F7F"/>
      <rgbColor rgb="FF7F8C99"/>
      <rgbColor rgb="FF7030A0"/>
      <rgbColor rgb="FFFFF3C4"/>
      <rgbColor rgb="FFEA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3F6363"/>
      <rgbColor rgb="FF0000FF"/>
      <rgbColor rgb="FF00CCFF"/>
      <rgbColor rgb="FFEFF6F6"/>
      <rgbColor rgb="FFC6EFCE"/>
      <rgbColor rgb="FFFDF4E3"/>
      <rgbColor rgb="FF9DC3C3"/>
      <rgbColor rgb="FFF5F5F5"/>
      <rgbColor rgb="FFE2E6EA"/>
      <rgbColor rgb="FFFFC7CE"/>
      <rgbColor rgb="FF2E75B6"/>
      <rgbColor rgb="FF33CCCC"/>
      <rgbColor rgb="FF99CC00"/>
      <rgbColor rgb="FFFFCC00"/>
      <rgbColor rgb="FFE8A33D"/>
      <rgbColor rgb="FFBF8F00"/>
      <rgbColor rgb="FF595959"/>
      <rgbColor rgb="FF8C8C8C"/>
      <rgbColor rgb="FF003366"/>
      <rgbColor rgb="FF2E8B8B"/>
      <rgbColor rgb="FF003300"/>
      <rgbColor rgb="FF5B4A1F"/>
      <rgbColor rgb="FF993300"/>
      <rgbColor rgb="FF993366"/>
      <rgbColor rgb="FF555555"/>
      <rgbColor rgb="FF1F3B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B57"/>
  </sheetPr>
  <dimension ref="A1:V1000"/>
  <sheetViews>
    <sheetView showGridLines="0" tabSelected="1" zoomScaleNormal="100" workbookViewId="0">
      <selection activeCell="G22" sqref="G19:H22"/>
    </sheetView>
  </sheetViews>
  <sheetFormatPr defaultColWidth="14.42578125" defaultRowHeight="15" x14ac:dyDescent="0.25"/>
  <cols>
    <col min="1" max="1" width="3" customWidth="1"/>
    <col min="2" max="2" width="24" customWidth="1"/>
    <col min="3" max="5" width="14" customWidth="1"/>
    <col min="6" max="6" width="16" customWidth="1"/>
    <col min="7" max="7" width="14" customWidth="1"/>
    <col min="8" max="8" width="16" customWidth="1"/>
    <col min="10" max="22" width="3.42578125" customWidth="1"/>
  </cols>
  <sheetData>
    <row r="1" spans="1:22" ht="30" customHeight="1" x14ac:dyDescent="0.25">
      <c r="A1" s="13" t="s">
        <v>0</v>
      </c>
      <c r="B1" s="13"/>
      <c r="C1" s="13"/>
      <c r="D1" s="13"/>
      <c r="E1" s="13"/>
      <c r="F1" s="13"/>
      <c r="G1" s="13"/>
      <c r="H1" s="13"/>
      <c r="J1" s="14" t="s">
        <v>1</v>
      </c>
    </row>
    <row r="2" spans="1:22" ht="21.75" customHeight="1" x14ac:dyDescent="0.25">
      <c r="A2" s="12" t="s">
        <v>2</v>
      </c>
      <c r="B2" s="12"/>
      <c r="C2" s="12"/>
      <c r="D2" s="12"/>
      <c r="E2" s="12"/>
      <c r="F2" s="12"/>
      <c r="G2" s="12"/>
      <c r="H2" s="12"/>
      <c r="J2" s="15">
        <v>1</v>
      </c>
      <c r="K2" s="15">
        <v>2</v>
      </c>
      <c r="L2" s="15">
        <v>3</v>
      </c>
      <c r="M2" s="15">
        <v>4</v>
      </c>
      <c r="N2" s="15">
        <v>5</v>
      </c>
      <c r="O2" s="15">
        <v>6</v>
      </c>
      <c r="P2" s="15">
        <v>7</v>
      </c>
      <c r="Q2" s="15">
        <v>8</v>
      </c>
      <c r="R2" s="15">
        <v>9</v>
      </c>
      <c r="S2" s="15">
        <v>10</v>
      </c>
      <c r="T2" s="15">
        <v>11</v>
      </c>
      <c r="U2" s="16">
        <v>12</v>
      </c>
      <c r="V2" s="15">
        <v>13</v>
      </c>
    </row>
    <row r="3" spans="1:22" ht="15" customHeight="1" x14ac:dyDescent="0.25"/>
    <row r="4" spans="1:22" ht="51.75" customHeight="1" x14ac:dyDescent="0.25">
      <c r="A4" s="11" t="s">
        <v>3</v>
      </c>
      <c r="B4" s="11"/>
      <c r="C4" s="11"/>
      <c r="D4" s="11"/>
      <c r="E4" s="11"/>
      <c r="F4" s="11"/>
      <c r="G4" s="11"/>
      <c r="H4" s="11"/>
    </row>
    <row r="5" spans="1:22" ht="15" customHeight="1" x14ac:dyDescent="0.25"/>
    <row r="6" spans="1:22" ht="24" customHeight="1" x14ac:dyDescent="0.25">
      <c r="A6" s="10" t="s">
        <v>4</v>
      </c>
      <c r="B6" s="10"/>
      <c r="C6" s="10"/>
      <c r="D6" s="10"/>
      <c r="E6" s="10"/>
      <c r="F6" s="10"/>
      <c r="G6" s="10"/>
      <c r="H6" s="10"/>
    </row>
    <row r="7" spans="1:22" ht="15.75" customHeight="1" x14ac:dyDescent="0.25">
      <c r="A7" s="11" t="s">
        <v>5</v>
      </c>
      <c r="B7" s="11"/>
      <c r="C7" s="11"/>
      <c r="D7" s="11"/>
      <c r="E7" s="11"/>
      <c r="F7" s="11"/>
      <c r="G7" s="11"/>
      <c r="H7" s="11"/>
    </row>
    <row r="8" spans="1:22" ht="15.75" customHeight="1" x14ac:dyDescent="0.25">
      <c r="A8" s="11" t="s">
        <v>6</v>
      </c>
      <c r="B8" s="11"/>
      <c r="C8" s="11"/>
      <c r="D8" s="11"/>
      <c r="E8" s="11"/>
      <c r="F8" s="11"/>
      <c r="G8" s="11"/>
      <c r="H8" s="11"/>
    </row>
    <row r="9" spans="1:22" ht="15.75" customHeight="1" x14ac:dyDescent="0.25">
      <c r="A9" s="11" t="s">
        <v>7</v>
      </c>
      <c r="B9" s="11"/>
      <c r="C9" s="11"/>
      <c r="D9" s="11"/>
      <c r="E9" s="11"/>
      <c r="F9" s="11"/>
      <c r="G9" s="11"/>
      <c r="H9" s="11"/>
    </row>
    <row r="10" spans="1:22" ht="15.75" customHeight="1" x14ac:dyDescent="0.25">
      <c r="A10" s="11" t="s">
        <v>8</v>
      </c>
      <c r="B10" s="11"/>
      <c r="C10" s="11"/>
      <c r="D10" s="11"/>
      <c r="E10" s="11"/>
      <c r="F10" s="11"/>
      <c r="G10" s="11"/>
      <c r="H10" s="11"/>
    </row>
    <row r="11" spans="1:22" ht="15" customHeight="1" x14ac:dyDescent="0.25"/>
    <row r="12" spans="1:22" ht="24" customHeight="1" x14ac:dyDescent="0.25">
      <c r="A12" s="10" t="s">
        <v>9</v>
      </c>
      <c r="B12" s="10"/>
      <c r="C12" s="10"/>
      <c r="D12" s="10"/>
      <c r="E12" s="10"/>
      <c r="F12" s="10"/>
      <c r="G12" s="10"/>
      <c r="H12" s="10"/>
    </row>
    <row r="13" spans="1:22" ht="15" customHeight="1" x14ac:dyDescent="0.25">
      <c r="B13" s="9" t="s">
        <v>10</v>
      </c>
      <c r="C13" s="9"/>
      <c r="D13" s="9"/>
      <c r="E13" s="9"/>
      <c r="F13" s="9"/>
      <c r="G13" s="9"/>
      <c r="H13" s="9"/>
    </row>
    <row r="14" spans="1:22" ht="15" customHeight="1" x14ac:dyDescent="0.25">
      <c r="B14" s="9"/>
      <c r="C14" s="9"/>
      <c r="D14" s="9"/>
      <c r="E14" s="9"/>
      <c r="F14" s="9"/>
      <c r="G14" s="9"/>
      <c r="H14" s="9"/>
    </row>
    <row r="15" spans="1:22" ht="15" customHeight="1" x14ac:dyDescent="0.25">
      <c r="B15" s="9"/>
      <c r="C15" s="9"/>
      <c r="D15" s="9"/>
      <c r="E15" s="9"/>
      <c r="F15" s="9"/>
      <c r="G15" s="9"/>
      <c r="H15" s="9"/>
    </row>
    <row r="16" spans="1:22" ht="15" customHeight="1" x14ac:dyDescent="0.25"/>
    <row r="17" spans="1:8" ht="24" customHeight="1" x14ac:dyDescent="0.25">
      <c r="A17" s="10" t="s">
        <v>11</v>
      </c>
      <c r="B17" s="10"/>
      <c r="C17" s="10"/>
      <c r="D17" s="10"/>
      <c r="E17" s="10"/>
      <c r="F17" s="10"/>
      <c r="G17" s="10"/>
      <c r="H17" s="10"/>
    </row>
    <row r="18" spans="1:8" ht="18" customHeight="1" x14ac:dyDescent="0.25">
      <c r="B18" s="8" t="s">
        <v>12</v>
      </c>
      <c r="C18" s="8"/>
      <c r="D18" s="8"/>
      <c r="E18" s="8"/>
      <c r="F18" s="8"/>
      <c r="G18" s="17" t="s">
        <v>13</v>
      </c>
    </row>
    <row r="19" spans="1:8" ht="15" customHeight="1" x14ac:dyDescent="0.25">
      <c r="B19" s="7" t="s">
        <v>14</v>
      </c>
      <c r="C19" s="7"/>
      <c r="D19" s="7"/>
      <c r="E19" s="7"/>
      <c r="F19" s="7"/>
      <c r="G19" s="32"/>
      <c r="H19" s="32"/>
    </row>
    <row r="20" spans="1:8" ht="15" customHeight="1" x14ac:dyDescent="0.25">
      <c r="B20" s="7" t="s">
        <v>15</v>
      </c>
      <c r="C20" s="7"/>
      <c r="D20" s="7"/>
      <c r="E20" s="7"/>
      <c r="F20" s="7"/>
      <c r="G20" s="32"/>
      <c r="H20" s="32"/>
    </row>
    <row r="21" spans="1:8" ht="15" customHeight="1" x14ac:dyDescent="0.25">
      <c r="B21" s="7" t="s">
        <v>16</v>
      </c>
      <c r="C21" s="7"/>
      <c r="D21" s="7"/>
      <c r="E21" s="7"/>
      <c r="F21" s="7"/>
      <c r="G21" s="32"/>
      <c r="H21" s="32"/>
    </row>
    <row r="22" spans="1:8" ht="15" customHeight="1" x14ac:dyDescent="0.25">
      <c r="B22" s="7" t="s">
        <v>17</v>
      </c>
      <c r="C22" s="7"/>
      <c r="D22" s="7"/>
      <c r="E22" s="7"/>
      <c r="F22" s="7"/>
      <c r="G22" s="32"/>
      <c r="H22" s="32"/>
    </row>
    <row r="23" spans="1:8" ht="15.75" customHeight="1" x14ac:dyDescent="0.25"/>
    <row r="24" spans="1:8" ht="15.75" customHeight="1" x14ac:dyDescent="0.25"/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heetProtection sheet="1" objects="1" scenarios="1" selectLockedCells="1"/>
  <mergeCells count="20">
    <mergeCell ref="B21:F21"/>
    <mergeCell ref="G21:H21"/>
    <mergeCell ref="B22:F22"/>
    <mergeCell ref="G22:H22"/>
    <mergeCell ref="A17:H17"/>
    <mergeCell ref="B18:F18"/>
    <mergeCell ref="B19:F19"/>
    <mergeCell ref="G19:H19"/>
    <mergeCell ref="B20:F20"/>
    <mergeCell ref="G20:H20"/>
    <mergeCell ref="A8:H8"/>
    <mergeCell ref="A9:H9"/>
    <mergeCell ref="A10:H10"/>
    <mergeCell ref="A12:H12"/>
    <mergeCell ref="B13:H15"/>
    <mergeCell ref="A1:H1"/>
    <mergeCell ref="A2:H2"/>
    <mergeCell ref="A4:H4"/>
    <mergeCell ref="A6:H6"/>
    <mergeCell ref="A7:H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8B8B"/>
  </sheetPr>
  <dimension ref="A1:C1000"/>
  <sheetViews>
    <sheetView showGridLines="0" zoomScaleNormal="100" workbookViewId="0">
      <selection sqref="A1:C1"/>
    </sheetView>
  </sheetViews>
  <sheetFormatPr defaultColWidth="14.42578125" defaultRowHeight="15" x14ac:dyDescent="0.25"/>
  <cols>
    <col min="1" max="1" width="3" customWidth="1"/>
    <col min="2" max="2" width="34" customWidth="1"/>
    <col min="3" max="3" width="60" customWidth="1"/>
    <col min="4" max="8" width="8.7109375" customWidth="1"/>
  </cols>
  <sheetData>
    <row r="1" spans="1:3" ht="30" customHeight="1" x14ac:dyDescent="0.25">
      <c r="A1" s="13" t="s">
        <v>18</v>
      </c>
      <c r="B1" s="13"/>
      <c r="C1" s="13"/>
    </row>
    <row r="2" spans="1:3" ht="21.75" customHeight="1" x14ac:dyDescent="0.25">
      <c r="A2" s="12" t="s">
        <v>19</v>
      </c>
      <c r="B2" s="12"/>
      <c r="C2" s="12"/>
    </row>
    <row r="3" spans="1:3" ht="15" customHeight="1" x14ac:dyDescent="0.25"/>
    <row r="4" spans="1:3" ht="27.75" customHeight="1" x14ac:dyDescent="0.25">
      <c r="A4" s="11" t="s">
        <v>20</v>
      </c>
      <c r="B4" s="11"/>
      <c r="C4" s="11"/>
    </row>
    <row r="5" spans="1:3" ht="15" customHeight="1" x14ac:dyDescent="0.25"/>
    <row r="6" spans="1:3" ht="30" customHeight="1" x14ac:dyDescent="0.25">
      <c r="B6" s="18" t="s">
        <v>21</v>
      </c>
      <c r="C6" s="19" t="s">
        <v>22</v>
      </c>
    </row>
    <row r="7" spans="1:3" ht="30" customHeight="1" x14ac:dyDescent="0.25">
      <c r="B7" s="18" t="s">
        <v>23</v>
      </c>
      <c r="C7" s="19" t="s">
        <v>24</v>
      </c>
    </row>
    <row r="8" spans="1:3" ht="30" customHeight="1" x14ac:dyDescent="0.25">
      <c r="B8" s="18" t="s">
        <v>25</v>
      </c>
      <c r="C8" s="19" t="s">
        <v>26</v>
      </c>
    </row>
    <row r="9" spans="1:3" ht="30" customHeight="1" x14ac:dyDescent="0.25">
      <c r="B9" s="18" t="s">
        <v>27</v>
      </c>
      <c r="C9" s="19" t="s">
        <v>28</v>
      </c>
    </row>
    <row r="10" spans="1:3" ht="30" customHeight="1" x14ac:dyDescent="0.25">
      <c r="B10" s="18" t="s">
        <v>29</v>
      </c>
      <c r="C10" s="19" t="s">
        <v>30</v>
      </c>
    </row>
    <row r="11" spans="1:3" ht="15" customHeight="1" x14ac:dyDescent="0.25"/>
    <row r="12" spans="1:3" ht="30" customHeight="1" x14ac:dyDescent="0.25">
      <c r="A12" s="6" t="s">
        <v>31</v>
      </c>
      <c r="B12" s="6"/>
      <c r="C12" s="6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heetProtection sheet="1" objects="1" scenarios="1" selectLockedCells="1"/>
  <mergeCells count="4">
    <mergeCell ref="A1:C1"/>
    <mergeCell ref="A2:C2"/>
    <mergeCell ref="A4:C4"/>
    <mergeCell ref="A12:C1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F8C99"/>
  </sheetPr>
  <dimension ref="A1:I1000"/>
  <sheetViews>
    <sheetView showGridLines="0" zoomScaleNormal="100" workbookViewId="0">
      <pane ySplit="4" topLeftCell="A5" activePane="bottomLeft" state="frozen"/>
      <selection pane="bottomLeft" sqref="A1:I1"/>
    </sheetView>
  </sheetViews>
  <sheetFormatPr defaultColWidth="14.42578125" defaultRowHeight="15" x14ac:dyDescent="0.25"/>
  <cols>
    <col min="1" max="1" width="11" customWidth="1"/>
    <col min="2" max="2" width="16" customWidth="1"/>
    <col min="3" max="3" width="17" customWidth="1"/>
    <col min="4" max="4" width="11" customWidth="1"/>
    <col min="5" max="5" width="16" customWidth="1"/>
    <col min="6" max="8" width="14" customWidth="1"/>
    <col min="9" max="9" width="15" customWidth="1"/>
    <col min="10" max="12" width="8.7109375" customWidth="1"/>
  </cols>
  <sheetData>
    <row r="1" spans="1:9" ht="30" customHeight="1" x14ac:dyDescent="0.25">
      <c r="A1" s="13" t="s">
        <v>32</v>
      </c>
      <c r="B1" s="13"/>
      <c r="C1" s="13"/>
      <c r="D1" s="13"/>
      <c r="E1" s="13"/>
      <c r="F1" s="13"/>
      <c r="G1" s="13"/>
      <c r="H1" s="13"/>
      <c r="I1" s="13"/>
    </row>
    <row r="2" spans="1:9" ht="21.75" customHeight="1" x14ac:dyDescent="0.25">
      <c r="A2" s="12" t="s">
        <v>33</v>
      </c>
      <c r="B2" s="12"/>
      <c r="C2" s="12"/>
      <c r="D2" s="12"/>
      <c r="E2" s="12"/>
      <c r="F2" s="12"/>
      <c r="G2" s="12"/>
      <c r="H2" s="12"/>
      <c r="I2" s="12"/>
    </row>
    <row r="3" spans="1:9" ht="15" customHeight="1" x14ac:dyDescent="0.25"/>
    <row r="4" spans="1:9" ht="19.5" customHeight="1" x14ac:dyDescent="0.25">
      <c r="A4" s="20" t="s">
        <v>34</v>
      </c>
      <c r="B4" s="20" t="s">
        <v>35</v>
      </c>
      <c r="C4" s="20" t="s">
        <v>36</v>
      </c>
      <c r="D4" s="20" t="s">
        <v>37</v>
      </c>
      <c r="E4" s="20" t="s">
        <v>38</v>
      </c>
      <c r="F4" s="20" t="s">
        <v>39</v>
      </c>
      <c r="G4" s="20" t="s">
        <v>40</v>
      </c>
      <c r="H4" s="20" t="s">
        <v>41</v>
      </c>
      <c r="I4" s="20" t="s">
        <v>42</v>
      </c>
    </row>
    <row r="5" spans="1:9" ht="15" customHeight="1" x14ac:dyDescent="0.25">
      <c r="A5" s="21">
        <v>1001</v>
      </c>
      <c r="B5" s="22" t="s">
        <v>43</v>
      </c>
      <c r="C5" s="22" t="s">
        <v>44</v>
      </c>
      <c r="D5" s="22">
        <v>2021</v>
      </c>
      <c r="E5" s="22" t="s">
        <v>45</v>
      </c>
      <c r="F5" s="22" t="s">
        <v>46</v>
      </c>
      <c r="G5" s="23">
        <v>35</v>
      </c>
      <c r="H5" s="22" t="s">
        <v>47</v>
      </c>
      <c r="I5" s="22" t="s">
        <v>48</v>
      </c>
    </row>
    <row r="6" spans="1:9" ht="15" customHeight="1" x14ac:dyDescent="0.25">
      <c r="A6" s="24">
        <v>1002</v>
      </c>
      <c r="B6" s="25" t="s">
        <v>49</v>
      </c>
      <c r="C6" s="25" t="s">
        <v>50</v>
      </c>
      <c r="D6" s="25">
        <v>2020</v>
      </c>
      <c r="E6" s="25" t="s">
        <v>51</v>
      </c>
      <c r="F6" s="25" t="s">
        <v>46</v>
      </c>
      <c r="G6" s="26">
        <v>55</v>
      </c>
      <c r="H6" s="25" t="s">
        <v>47</v>
      </c>
      <c r="I6" s="25" t="s">
        <v>52</v>
      </c>
    </row>
    <row r="7" spans="1:9" ht="15" customHeight="1" x14ac:dyDescent="0.25">
      <c r="A7" s="21">
        <v>1003</v>
      </c>
      <c r="B7" s="22" t="s">
        <v>53</v>
      </c>
      <c r="C7" s="22" t="s">
        <v>54</v>
      </c>
      <c r="D7" s="22">
        <v>2022</v>
      </c>
      <c r="E7" s="22" t="s">
        <v>55</v>
      </c>
      <c r="F7" s="22" t="s">
        <v>56</v>
      </c>
      <c r="G7" s="23">
        <v>20</v>
      </c>
      <c r="H7" s="22" t="s">
        <v>57</v>
      </c>
      <c r="I7" s="22" t="s">
        <v>58</v>
      </c>
    </row>
    <row r="8" spans="1:9" ht="15" customHeight="1" x14ac:dyDescent="0.25">
      <c r="A8" s="24">
        <v>1004</v>
      </c>
      <c r="B8" s="25" t="s">
        <v>59</v>
      </c>
      <c r="C8" s="25" t="s">
        <v>60</v>
      </c>
      <c r="D8" s="25">
        <v>2019</v>
      </c>
      <c r="E8" s="25" t="s">
        <v>55</v>
      </c>
      <c r="F8" s="25" t="s">
        <v>61</v>
      </c>
      <c r="G8" s="26">
        <v>28</v>
      </c>
      <c r="H8" s="25" t="s">
        <v>57</v>
      </c>
      <c r="I8" s="25" t="s">
        <v>58</v>
      </c>
    </row>
    <row r="9" spans="1:9" ht="15" customHeight="1" x14ac:dyDescent="0.25">
      <c r="A9" s="21">
        <v>1005</v>
      </c>
      <c r="B9" s="22" t="s">
        <v>62</v>
      </c>
      <c r="C9" s="22" t="s">
        <v>44</v>
      </c>
      <c r="D9" s="22">
        <v>2023</v>
      </c>
      <c r="E9" s="22" t="s">
        <v>45</v>
      </c>
      <c r="F9" s="22" t="s">
        <v>56</v>
      </c>
      <c r="G9" s="23">
        <v>35</v>
      </c>
      <c r="H9" s="22" t="s">
        <v>47</v>
      </c>
      <c r="I9" s="22" t="s">
        <v>48</v>
      </c>
    </row>
    <row r="10" spans="1:9" ht="15" customHeight="1" x14ac:dyDescent="0.25">
      <c r="A10" s="24">
        <v>1006</v>
      </c>
      <c r="B10" s="25" t="s">
        <v>63</v>
      </c>
      <c r="C10" s="25" t="s">
        <v>44</v>
      </c>
      <c r="D10" s="25">
        <v>2021</v>
      </c>
      <c r="E10" s="25" t="s">
        <v>45</v>
      </c>
      <c r="F10" s="25" t="s">
        <v>46</v>
      </c>
      <c r="G10" s="26">
        <v>35</v>
      </c>
      <c r="H10" s="25" t="s">
        <v>64</v>
      </c>
      <c r="I10" s="25" t="s">
        <v>48</v>
      </c>
    </row>
    <row r="11" spans="1:9" ht="15" customHeight="1" x14ac:dyDescent="0.25">
      <c r="A11" s="21">
        <v>1007</v>
      </c>
      <c r="B11" s="22" t="s">
        <v>65</v>
      </c>
      <c r="C11" s="22" t="s">
        <v>50</v>
      </c>
      <c r="D11" s="22">
        <v>2022</v>
      </c>
      <c r="E11" s="22" t="s">
        <v>51</v>
      </c>
      <c r="F11" s="22" t="s">
        <v>56</v>
      </c>
      <c r="G11" s="23">
        <v>55</v>
      </c>
      <c r="H11" s="22" t="s">
        <v>47</v>
      </c>
      <c r="I11" s="22" t="s">
        <v>52</v>
      </c>
    </row>
    <row r="12" spans="1:9" ht="15" customHeight="1" x14ac:dyDescent="0.25">
      <c r="A12" s="24">
        <v>1008</v>
      </c>
      <c r="B12" s="25" t="s">
        <v>66</v>
      </c>
      <c r="C12" s="25" t="s">
        <v>54</v>
      </c>
      <c r="D12" s="25">
        <v>2020</v>
      </c>
      <c r="E12" s="25" t="s">
        <v>55</v>
      </c>
      <c r="F12" s="25" t="s">
        <v>46</v>
      </c>
      <c r="G12" s="26">
        <v>20</v>
      </c>
      <c r="H12" s="25" t="s">
        <v>57</v>
      </c>
      <c r="I12" s="25" t="s">
        <v>58</v>
      </c>
    </row>
    <row r="13" spans="1:9" ht="15" customHeight="1" x14ac:dyDescent="0.25">
      <c r="A13" s="21">
        <v>1009</v>
      </c>
      <c r="B13" s="22" t="s">
        <v>67</v>
      </c>
      <c r="C13" s="22" t="s">
        <v>44</v>
      </c>
      <c r="D13" s="22">
        <v>2023</v>
      </c>
      <c r="E13" s="22" t="s">
        <v>45</v>
      </c>
      <c r="F13" s="22" t="s">
        <v>56</v>
      </c>
      <c r="G13" s="23">
        <v>35</v>
      </c>
      <c r="H13" s="22" t="s">
        <v>47</v>
      </c>
      <c r="I13" s="22" t="s">
        <v>48</v>
      </c>
    </row>
    <row r="14" spans="1:9" ht="15" customHeight="1" x14ac:dyDescent="0.25">
      <c r="A14" s="24">
        <v>1010</v>
      </c>
      <c r="B14" s="25" t="s">
        <v>68</v>
      </c>
      <c r="C14" s="25" t="s">
        <v>60</v>
      </c>
      <c r="D14" s="25">
        <v>2018</v>
      </c>
      <c r="E14" s="25" t="s">
        <v>55</v>
      </c>
      <c r="F14" s="25" t="s">
        <v>61</v>
      </c>
      <c r="G14" s="26">
        <v>28</v>
      </c>
      <c r="H14" s="25" t="s">
        <v>57</v>
      </c>
      <c r="I14" s="25" t="s">
        <v>58</v>
      </c>
    </row>
    <row r="15" spans="1:9" ht="15" customHeight="1" x14ac:dyDescent="0.25">
      <c r="A15" s="21">
        <v>1011</v>
      </c>
      <c r="B15" s="22" t="s">
        <v>69</v>
      </c>
      <c r="C15" s="22" t="s">
        <v>44</v>
      </c>
      <c r="D15" s="22">
        <v>2022</v>
      </c>
      <c r="E15" s="22" t="s">
        <v>45</v>
      </c>
      <c r="F15" s="22" t="s">
        <v>56</v>
      </c>
      <c r="G15" s="23">
        <v>35</v>
      </c>
      <c r="H15" s="22" t="s">
        <v>47</v>
      </c>
      <c r="I15" s="22" t="s">
        <v>48</v>
      </c>
    </row>
    <row r="16" spans="1:9" ht="15" customHeight="1" x14ac:dyDescent="0.25">
      <c r="A16" s="24">
        <v>1012</v>
      </c>
      <c r="B16" s="25" t="s">
        <v>70</v>
      </c>
      <c r="C16" s="25" t="s">
        <v>50</v>
      </c>
      <c r="D16" s="25">
        <v>2021</v>
      </c>
      <c r="E16" s="25" t="s">
        <v>51</v>
      </c>
      <c r="F16" s="25" t="s">
        <v>46</v>
      </c>
      <c r="G16" s="26">
        <v>55</v>
      </c>
      <c r="H16" s="25" t="s">
        <v>64</v>
      </c>
      <c r="I16" s="25" t="s">
        <v>52</v>
      </c>
    </row>
    <row r="17" spans="1:9" ht="15" customHeight="1" x14ac:dyDescent="0.25">
      <c r="A17" s="21">
        <v>1013</v>
      </c>
      <c r="B17" s="22" t="s">
        <v>71</v>
      </c>
      <c r="C17" s="22" t="s">
        <v>54</v>
      </c>
      <c r="D17" s="22">
        <v>2023</v>
      </c>
      <c r="E17" s="22" t="s">
        <v>55</v>
      </c>
      <c r="F17" s="22" t="s">
        <v>56</v>
      </c>
      <c r="G17" s="23">
        <v>20</v>
      </c>
      <c r="H17" s="22" t="s">
        <v>57</v>
      </c>
      <c r="I17" s="22" t="s">
        <v>58</v>
      </c>
    </row>
    <row r="18" spans="1:9" ht="15" customHeight="1" x14ac:dyDescent="0.25">
      <c r="A18" s="24">
        <v>1014</v>
      </c>
      <c r="B18" s="25" t="s">
        <v>72</v>
      </c>
      <c r="C18" s="25" t="s">
        <v>44</v>
      </c>
      <c r="D18" s="25">
        <v>2020</v>
      </c>
      <c r="E18" s="25" t="s">
        <v>45</v>
      </c>
      <c r="F18" s="25" t="s">
        <v>46</v>
      </c>
      <c r="G18" s="26">
        <v>35</v>
      </c>
      <c r="H18" s="25" t="s">
        <v>47</v>
      </c>
      <c r="I18" s="25" t="s">
        <v>48</v>
      </c>
    </row>
    <row r="19" spans="1:9" ht="15" customHeight="1" x14ac:dyDescent="0.25">
      <c r="A19" s="21">
        <v>1015</v>
      </c>
      <c r="B19" s="22" t="s">
        <v>73</v>
      </c>
      <c r="C19" s="22" t="s">
        <v>44</v>
      </c>
      <c r="D19" s="22">
        <v>2022</v>
      </c>
      <c r="E19" s="22" t="s">
        <v>45</v>
      </c>
      <c r="F19" s="22" t="s">
        <v>56</v>
      </c>
      <c r="G19" s="23">
        <v>350</v>
      </c>
      <c r="H19" s="22" t="s">
        <v>57</v>
      </c>
      <c r="I19" s="22" t="s">
        <v>74</v>
      </c>
    </row>
    <row r="20" spans="1:9" ht="15" customHeight="1" x14ac:dyDescent="0.25">
      <c r="A20" s="24">
        <v>1016</v>
      </c>
      <c r="B20" s="25" t="s">
        <v>75</v>
      </c>
      <c r="C20" s="25" t="s">
        <v>60</v>
      </c>
      <c r="D20" s="25">
        <v>2019</v>
      </c>
      <c r="E20" s="25" t="s">
        <v>55</v>
      </c>
      <c r="F20" s="25" t="s">
        <v>61</v>
      </c>
      <c r="G20" s="26">
        <v>28</v>
      </c>
      <c r="H20" s="25" t="s">
        <v>57</v>
      </c>
      <c r="I20" s="25" t="s">
        <v>58</v>
      </c>
    </row>
    <row r="21" spans="1:9" ht="15.75" customHeight="1" x14ac:dyDescent="0.25">
      <c r="A21" s="21">
        <v>1017</v>
      </c>
      <c r="B21" s="22" t="s">
        <v>76</v>
      </c>
      <c r="C21" s="22" t="s">
        <v>44</v>
      </c>
      <c r="D21" s="22">
        <v>2023</v>
      </c>
      <c r="E21" s="22" t="s">
        <v>45</v>
      </c>
      <c r="F21" s="22" t="s">
        <v>56</v>
      </c>
      <c r="G21" s="23">
        <v>35</v>
      </c>
      <c r="H21" s="22" t="s">
        <v>47</v>
      </c>
      <c r="I21" s="22" t="s">
        <v>48</v>
      </c>
    </row>
    <row r="22" spans="1:9" ht="15.75" customHeight="1" x14ac:dyDescent="0.25">
      <c r="A22" s="24">
        <v>1018</v>
      </c>
      <c r="B22" s="25" t="s">
        <v>77</v>
      </c>
      <c r="C22" s="25" t="s">
        <v>50</v>
      </c>
      <c r="D22" s="25">
        <v>2021</v>
      </c>
      <c r="E22" s="25" t="s">
        <v>51</v>
      </c>
      <c r="F22" s="25" t="s">
        <v>46</v>
      </c>
      <c r="G22" s="26">
        <v>55</v>
      </c>
      <c r="H22" s="25" t="s">
        <v>47</v>
      </c>
      <c r="I22" s="25" t="s">
        <v>52</v>
      </c>
    </row>
    <row r="23" spans="1:9" ht="15.75" customHeight="1" x14ac:dyDescent="0.25">
      <c r="A23" s="21">
        <v>1019</v>
      </c>
      <c r="B23" s="22" t="s">
        <v>78</v>
      </c>
      <c r="C23" s="22" t="s">
        <v>54</v>
      </c>
      <c r="D23" s="22">
        <v>2022</v>
      </c>
      <c r="E23" s="22" t="s">
        <v>55</v>
      </c>
      <c r="F23" s="22" t="s">
        <v>56</v>
      </c>
      <c r="G23" s="23">
        <v>20</v>
      </c>
      <c r="H23" s="22" t="s">
        <v>57</v>
      </c>
      <c r="I23" s="22" t="s">
        <v>58</v>
      </c>
    </row>
    <row r="24" spans="1:9" ht="15.75" customHeight="1" x14ac:dyDescent="0.25">
      <c r="A24" s="24">
        <v>1020</v>
      </c>
      <c r="B24" s="25" t="s">
        <v>79</v>
      </c>
      <c r="C24" s="25" t="s">
        <v>44</v>
      </c>
      <c r="D24" s="25">
        <v>2020</v>
      </c>
      <c r="E24" s="25" t="s">
        <v>45</v>
      </c>
      <c r="F24" s="25" t="s">
        <v>46</v>
      </c>
      <c r="G24" s="26">
        <v>35</v>
      </c>
      <c r="H24" s="25" t="s">
        <v>64</v>
      </c>
      <c r="I24" s="25" t="s">
        <v>48</v>
      </c>
    </row>
    <row r="25" spans="1:9" ht="15.75" customHeight="1" x14ac:dyDescent="0.25">
      <c r="A25" s="21">
        <v>1021</v>
      </c>
      <c r="B25" s="22" t="s">
        <v>80</v>
      </c>
      <c r="C25" s="22" t="s">
        <v>44</v>
      </c>
      <c r="D25" s="22">
        <v>2023</v>
      </c>
      <c r="E25" s="22" t="s">
        <v>45</v>
      </c>
      <c r="F25" s="22" t="s">
        <v>56</v>
      </c>
      <c r="G25" s="22"/>
      <c r="H25" s="22"/>
      <c r="I25" s="22"/>
    </row>
    <row r="26" spans="1:9" ht="15.75" customHeight="1" x14ac:dyDescent="0.25">
      <c r="A26" s="24">
        <v>1022</v>
      </c>
      <c r="B26" s="25" t="s">
        <v>81</v>
      </c>
      <c r="C26" s="25" t="s">
        <v>60</v>
      </c>
      <c r="D26" s="25">
        <v>2021</v>
      </c>
      <c r="E26" s="25" t="s">
        <v>55</v>
      </c>
      <c r="F26" s="25" t="s">
        <v>46</v>
      </c>
      <c r="G26" s="25"/>
      <c r="H26" s="25"/>
      <c r="I26" s="25"/>
    </row>
    <row r="27" spans="1:9" ht="15.75" customHeight="1" x14ac:dyDescent="0.25">
      <c r="A27" s="21">
        <v>1023</v>
      </c>
      <c r="B27" s="22" t="s">
        <v>82</v>
      </c>
      <c r="C27" s="22" t="s">
        <v>44</v>
      </c>
      <c r="D27" s="22">
        <v>2022</v>
      </c>
      <c r="E27" s="22" t="s">
        <v>45</v>
      </c>
      <c r="F27" s="22" t="s">
        <v>56</v>
      </c>
      <c r="G27" s="22"/>
      <c r="H27" s="22"/>
      <c r="I27" s="22"/>
    </row>
    <row r="28" spans="1:9" ht="15.75" customHeight="1" x14ac:dyDescent="0.25"/>
    <row r="29" spans="1:9" ht="15.75" customHeight="1" x14ac:dyDescent="0.25"/>
    <row r="30" spans="1:9" ht="15.75" customHeight="1" x14ac:dyDescent="0.25"/>
    <row r="31" spans="1:9" ht="15.75" customHeight="1" x14ac:dyDescent="0.25"/>
    <row r="32" spans="1: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I27" xr:uid="{00000000-0009-0000-0000-000002000000}"/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F8C99"/>
  </sheetPr>
  <dimension ref="A1:E1000"/>
  <sheetViews>
    <sheetView showGridLines="0" zoomScaleNormal="100" workbookViewId="0">
      <pane ySplit="4" topLeftCell="A5" activePane="bottomLeft" state="frozen"/>
      <selection pane="bottomLeft" sqref="A1:E1"/>
    </sheetView>
  </sheetViews>
  <sheetFormatPr defaultColWidth="14.42578125" defaultRowHeight="15" x14ac:dyDescent="0.25"/>
  <cols>
    <col min="1" max="1" width="12" customWidth="1"/>
    <col min="2" max="3" width="11" customWidth="1"/>
    <col min="4" max="4" width="15.42578125" customWidth="1"/>
    <col min="5" max="5" width="15" customWidth="1"/>
    <col min="6" max="12" width="8.7109375" customWidth="1"/>
  </cols>
  <sheetData>
    <row r="1" spans="1:5" ht="30" customHeight="1" x14ac:dyDescent="0.25">
      <c r="A1" s="13" t="s">
        <v>83</v>
      </c>
      <c r="B1" s="13"/>
      <c r="C1" s="13"/>
      <c r="D1" s="13"/>
      <c r="E1" s="13"/>
    </row>
    <row r="2" spans="1:5" ht="21.75" customHeight="1" x14ac:dyDescent="0.25">
      <c r="A2" s="12" t="s">
        <v>84</v>
      </c>
      <c r="B2" s="12"/>
      <c r="C2" s="12"/>
      <c r="D2" s="12"/>
      <c r="E2" s="12"/>
    </row>
    <row r="3" spans="1:5" ht="15" customHeight="1" x14ac:dyDescent="0.25"/>
    <row r="4" spans="1:5" ht="19.5" customHeight="1" x14ac:dyDescent="0.25">
      <c r="A4" s="20" t="s">
        <v>85</v>
      </c>
      <c r="B4" s="20" t="s">
        <v>34</v>
      </c>
      <c r="C4" s="20" t="s">
        <v>86</v>
      </c>
      <c r="D4" s="20" t="s">
        <v>87</v>
      </c>
      <c r="E4" s="20" t="s">
        <v>88</v>
      </c>
    </row>
    <row r="5" spans="1:5" ht="15" customHeight="1" x14ac:dyDescent="0.25">
      <c r="A5" s="21">
        <v>5001</v>
      </c>
      <c r="B5" s="22">
        <v>1001</v>
      </c>
      <c r="C5" s="22" t="s">
        <v>89</v>
      </c>
      <c r="D5" s="27">
        <v>45299</v>
      </c>
      <c r="E5" s="22">
        <v>45</v>
      </c>
    </row>
    <row r="6" spans="1:5" ht="15" customHeight="1" x14ac:dyDescent="0.25">
      <c r="A6" s="24">
        <v>5002</v>
      </c>
      <c r="B6" s="25">
        <v>1003</v>
      </c>
      <c r="C6" s="25" t="s">
        <v>90</v>
      </c>
      <c r="D6" s="28">
        <v>45299</v>
      </c>
      <c r="E6" s="25">
        <v>60</v>
      </c>
    </row>
    <row r="7" spans="1:5" ht="15" customHeight="1" x14ac:dyDescent="0.25">
      <c r="A7" s="21">
        <v>5003</v>
      </c>
      <c r="B7" s="22">
        <v>1005</v>
      </c>
      <c r="C7" s="22" t="s">
        <v>91</v>
      </c>
      <c r="D7" s="27">
        <v>45299</v>
      </c>
      <c r="E7" s="22">
        <v>30</v>
      </c>
    </row>
    <row r="8" spans="1:5" ht="15" customHeight="1" x14ac:dyDescent="0.25">
      <c r="A8" s="24">
        <v>5004</v>
      </c>
      <c r="B8" s="25">
        <v>1002</v>
      </c>
      <c r="C8" s="25" t="s">
        <v>89</v>
      </c>
      <c r="D8" s="28">
        <v>45300</v>
      </c>
      <c r="E8" s="25">
        <v>45</v>
      </c>
    </row>
    <row r="9" spans="1:5" ht="15" customHeight="1" x14ac:dyDescent="0.25">
      <c r="A9" s="21">
        <v>5005</v>
      </c>
      <c r="B9" s="22">
        <v>1010</v>
      </c>
      <c r="C9" s="22" t="s">
        <v>92</v>
      </c>
      <c r="D9" s="27">
        <v>45300</v>
      </c>
      <c r="E9" s="22">
        <v>60</v>
      </c>
    </row>
    <row r="10" spans="1:5" ht="15" customHeight="1" x14ac:dyDescent="0.25">
      <c r="A10" s="24">
        <v>5006</v>
      </c>
      <c r="B10" s="25">
        <v>1006</v>
      </c>
      <c r="C10" s="25" t="s">
        <v>93</v>
      </c>
      <c r="D10" s="28">
        <v>45300</v>
      </c>
      <c r="E10" s="25">
        <v>40</v>
      </c>
    </row>
    <row r="11" spans="1:5" ht="15" customHeight="1" x14ac:dyDescent="0.25">
      <c r="A11" s="21">
        <v>5007</v>
      </c>
      <c r="B11" s="22">
        <v>1009</v>
      </c>
      <c r="C11" s="22" t="s">
        <v>91</v>
      </c>
      <c r="D11" s="27">
        <v>45301</v>
      </c>
      <c r="E11" s="22">
        <v>30</v>
      </c>
    </row>
    <row r="12" spans="1:5" ht="15" customHeight="1" x14ac:dyDescent="0.25">
      <c r="A12" s="24">
        <v>5008</v>
      </c>
      <c r="B12" s="25">
        <v>1014</v>
      </c>
      <c r="C12" s="25" t="s">
        <v>89</v>
      </c>
      <c r="D12" s="28">
        <v>45301</v>
      </c>
      <c r="E12" s="25">
        <v>45</v>
      </c>
    </row>
    <row r="13" spans="1:5" ht="15" customHeight="1" x14ac:dyDescent="0.25">
      <c r="A13" s="21">
        <v>5009</v>
      </c>
      <c r="B13" s="22">
        <v>1004</v>
      </c>
      <c r="C13" s="22" t="s">
        <v>92</v>
      </c>
      <c r="D13" s="27">
        <v>45301</v>
      </c>
      <c r="E13" s="22">
        <v>60</v>
      </c>
    </row>
    <row r="14" spans="1:5" ht="15" customHeight="1" x14ac:dyDescent="0.25">
      <c r="A14" s="24">
        <v>5010</v>
      </c>
      <c r="B14" s="25">
        <v>1011</v>
      </c>
      <c r="C14" s="25" t="s">
        <v>90</v>
      </c>
      <c r="D14" s="28">
        <v>45301</v>
      </c>
      <c r="E14" s="25">
        <v>60</v>
      </c>
    </row>
    <row r="15" spans="1:5" ht="15" customHeight="1" x14ac:dyDescent="0.25">
      <c r="A15" s="21">
        <v>5011</v>
      </c>
      <c r="B15" s="22">
        <v>1001</v>
      </c>
      <c r="C15" s="22" t="s">
        <v>91</v>
      </c>
      <c r="D15" s="27">
        <v>45302</v>
      </c>
      <c r="E15" s="22">
        <v>30</v>
      </c>
    </row>
    <row r="16" spans="1:5" ht="15" customHeight="1" x14ac:dyDescent="0.25">
      <c r="A16" s="24">
        <v>5012</v>
      </c>
      <c r="B16" s="25">
        <v>1017</v>
      </c>
      <c r="C16" s="25" t="s">
        <v>89</v>
      </c>
      <c r="D16" s="28">
        <v>45302</v>
      </c>
      <c r="E16" s="25">
        <v>45</v>
      </c>
    </row>
    <row r="17" spans="1:5" ht="15" customHeight="1" x14ac:dyDescent="0.25">
      <c r="A17" s="21">
        <v>5013</v>
      </c>
      <c r="B17" s="22">
        <v>1020</v>
      </c>
      <c r="C17" s="22" t="s">
        <v>93</v>
      </c>
      <c r="D17" s="27">
        <v>45302</v>
      </c>
      <c r="E17" s="22">
        <v>40</v>
      </c>
    </row>
    <row r="18" spans="1:5" ht="15" customHeight="1" x14ac:dyDescent="0.25">
      <c r="A18" s="24">
        <v>5014</v>
      </c>
      <c r="B18" s="25">
        <v>1007</v>
      </c>
      <c r="C18" s="25" t="s">
        <v>90</v>
      </c>
      <c r="D18" s="28">
        <v>45303</v>
      </c>
      <c r="E18" s="25">
        <v>60</v>
      </c>
    </row>
    <row r="19" spans="1:5" ht="15" customHeight="1" x14ac:dyDescent="0.25">
      <c r="A19" s="21">
        <v>5015</v>
      </c>
      <c r="B19" s="22">
        <v>1015</v>
      </c>
      <c r="C19" s="22" t="s">
        <v>91</v>
      </c>
      <c r="D19" s="27">
        <v>45303</v>
      </c>
      <c r="E19" s="22">
        <v>30</v>
      </c>
    </row>
    <row r="20" spans="1:5" ht="15" customHeight="1" x14ac:dyDescent="0.25">
      <c r="A20" s="24">
        <v>5016</v>
      </c>
      <c r="B20" s="25">
        <v>1003</v>
      </c>
      <c r="C20" s="25" t="s">
        <v>89</v>
      </c>
      <c r="D20" s="28">
        <v>45303</v>
      </c>
      <c r="E20" s="25">
        <v>45</v>
      </c>
    </row>
    <row r="21" spans="1:5" ht="15.75" customHeight="1" x14ac:dyDescent="0.25">
      <c r="A21" s="21">
        <v>5017</v>
      </c>
      <c r="B21" s="22">
        <v>1021</v>
      </c>
      <c r="C21" s="22" t="s">
        <v>92</v>
      </c>
      <c r="D21" s="27">
        <v>45303</v>
      </c>
      <c r="E21" s="22">
        <v>60</v>
      </c>
    </row>
    <row r="22" spans="1:5" ht="15.75" customHeight="1" x14ac:dyDescent="0.25">
      <c r="A22" s="24">
        <v>5018</v>
      </c>
      <c r="B22" s="25">
        <v>1012</v>
      </c>
      <c r="C22" s="25" t="s">
        <v>91</v>
      </c>
      <c r="D22" s="28">
        <v>45304</v>
      </c>
      <c r="E22" s="25">
        <v>30</v>
      </c>
    </row>
    <row r="23" spans="1:5" ht="15.75" customHeight="1" x14ac:dyDescent="0.25">
      <c r="A23" s="21">
        <v>5019</v>
      </c>
      <c r="B23" s="22">
        <v>1016</v>
      </c>
      <c r="C23" s="22" t="s">
        <v>89</v>
      </c>
      <c r="D23" s="27">
        <v>45304</v>
      </c>
      <c r="E23" s="22">
        <v>45</v>
      </c>
    </row>
    <row r="24" spans="1:5" ht="15.75" customHeight="1" x14ac:dyDescent="0.25">
      <c r="A24" s="24">
        <v>5020</v>
      </c>
      <c r="B24" s="25">
        <v>1009</v>
      </c>
      <c r="C24" s="25" t="s">
        <v>90</v>
      </c>
      <c r="D24" s="28">
        <v>45304</v>
      </c>
      <c r="E24" s="25">
        <v>60</v>
      </c>
    </row>
    <row r="25" spans="1:5" ht="15.75" customHeight="1" x14ac:dyDescent="0.25">
      <c r="A25" s="21">
        <v>5021</v>
      </c>
      <c r="B25" s="22">
        <v>1002</v>
      </c>
      <c r="C25" s="22" t="s">
        <v>89</v>
      </c>
      <c r="D25" s="27">
        <v>45327</v>
      </c>
      <c r="E25" s="22">
        <v>45</v>
      </c>
    </row>
    <row r="26" spans="1:5" ht="15.75" customHeight="1" x14ac:dyDescent="0.25">
      <c r="A26" s="24">
        <v>5022</v>
      </c>
      <c r="B26" s="25">
        <v>1009</v>
      </c>
      <c r="C26" s="25" t="s">
        <v>91</v>
      </c>
      <c r="D26" s="28">
        <v>45328</v>
      </c>
      <c r="E26" s="25">
        <v>30</v>
      </c>
    </row>
    <row r="27" spans="1:5" ht="15.75" customHeight="1" x14ac:dyDescent="0.25">
      <c r="A27" s="21">
        <v>5023</v>
      </c>
      <c r="B27" s="22">
        <v>1003</v>
      </c>
      <c r="C27" s="22" t="s">
        <v>90</v>
      </c>
      <c r="D27" s="27">
        <v>45328</v>
      </c>
      <c r="E27" s="22">
        <v>60</v>
      </c>
    </row>
    <row r="28" spans="1:5" ht="15.75" customHeight="1" x14ac:dyDescent="0.25">
      <c r="A28" s="24">
        <v>5024</v>
      </c>
      <c r="B28" s="25">
        <v>1005</v>
      </c>
      <c r="C28" s="25" t="s">
        <v>89</v>
      </c>
      <c r="D28" s="28">
        <v>45329</v>
      </c>
      <c r="E28" s="25">
        <v>45</v>
      </c>
    </row>
    <row r="29" spans="1:5" ht="15.75" customHeight="1" x14ac:dyDescent="0.25">
      <c r="A29" s="21">
        <v>5025</v>
      </c>
      <c r="B29" s="22">
        <v>1010</v>
      </c>
      <c r="C29" s="22" t="s">
        <v>92</v>
      </c>
      <c r="D29" s="27">
        <v>45330</v>
      </c>
      <c r="E29" s="22">
        <v>60</v>
      </c>
    </row>
    <row r="30" spans="1:5" ht="15.75" customHeight="1" x14ac:dyDescent="0.25">
      <c r="A30" s="24">
        <v>5026</v>
      </c>
      <c r="B30" s="25">
        <v>1001</v>
      </c>
      <c r="C30" s="25" t="s">
        <v>89</v>
      </c>
      <c r="D30" s="28">
        <v>45331</v>
      </c>
      <c r="E30" s="25">
        <v>45</v>
      </c>
    </row>
    <row r="31" spans="1:5" ht="15.75" customHeight="1" x14ac:dyDescent="0.25">
      <c r="A31" s="21">
        <v>5027</v>
      </c>
      <c r="B31" s="22">
        <v>1014</v>
      </c>
      <c r="C31" s="22" t="s">
        <v>91</v>
      </c>
      <c r="D31" s="27">
        <v>45331</v>
      </c>
      <c r="E31" s="22">
        <v>30</v>
      </c>
    </row>
    <row r="32" spans="1:5" ht="15.75" customHeight="1" x14ac:dyDescent="0.25">
      <c r="A32" s="24">
        <v>5028</v>
      </c>
      <c r="B32" s="25">
        <v>1006</v>
      </c>
      <c r="C32" s="25" t="s">
        <v>93</v>
      </c>
      <c r="D32" s="28">
        <v>45334</v>
      </c>
      <c r="E32" s="25">
        <v>40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E32" xr:uid="{00000000-0009-0000-0000-000003000000}"/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75B6"/>
  </sheetPr>
  <dimension ref="A1:J1000"/>
  <sheetViews>
    <sheetView showGridLines="0" zoomScaleNormal="100" workbookViewId="0">
      <selection activeCell="F7" sqref="F7:F10"/>
    </sheetView>
  </sheetViews>
  <sheetFormatPr defaultColWidth="14.42578125" defaultRowHeight="15" x14ac:dyDescent="0.25"/>
  <cols>
    <col min="1" max="1" width="3" customWidth="1"/>
    <col min="2" max="2" width="30" customWidth="1"/>
    <col min="3" max="3" width="14" customWidth="1"/>
    <col min="4" max="4" width="26" customWidth="1"/>
    <col min="5" max="5" width="12" customWidth="1"/>
    <col min="6" max="6" width="16" customWidth="1"/>
    <col min="7" max="7" width="14" customWidth="1"/>
    <col min="8" max="8" width="10" customWidth="1"/>
    <col min="9" max="9" width="1.5703125" customWidth="1"/>
    <col min="10" max="10" width="52" customWidth="1"/>
  </cols>
  <sheetData>
    <row r="1" spans="1:10" ht="30" customHeight="1" x14ac:dyDescent="0.25">
      <c r="A1" s="13" t="s">
        <v>94</v>
      </c>
      <c r="B1" s="13"/>
      <c r="C1" s="13"/>
      <c r="D1" s="13"/>
      <c r="E1" s="13"/>
      <c r="F1" s="13"/>
      <c r="G1" s="13"/>
      <c r="H1" s="13"/>
    </row>
    <row r="2" spans="1:10" ht="21.75" customHeight="1" x14ac:dyDescent="0.25">
      <c r="A2" s="12" t="s">
        <v>95</v>
      </c>
      <c r="B2" s="12"/>
      <c r="C2" s="12"/>
      <c r="D2" s="12"/>
      <c r="E2" s="12"/>
      <c r="F2" s="12"/>
      <c r="G2" s="12"/>
      <c r="H2" s="12"/>
    </row>
    <row r="3" spans="1:10" ht="15" customHeight="1" x14ac:dyDescent="0.25"/>
    <row r="4" spans="1:10" ht="43.5" customHeight="1" x14ac:dyDescent="0.25">
      <c r="A4" s="11" t="s">
        <v>96</v>
      </c>
      <c r="B4" s="11"/>
      <c r="C4" s="11"/>
      <c r="D4" s="11"/>
      <c r="E4" s="11"/>
      <c r="F4" s="11"/>
      <c r="G4" s="11"/>
      <c r="H4" s="11"/>
    </row>
    <row r="5" spans="1:10" ht="15" customHeight="1" x14ac:dyDescent="0.25"/>
    <row r="6" spans="1:10" ht="18" customHeight="1" x14ac:dyDescent="0.25">
      <c r="B6" s="5" t="s">
        <v>97</v>
      </c>
      <c r="C6" s="5"/>
      <c r="D6" s="4" t="s">
        <v>98</v>
      </c>
      <c r="E6" s="4"/>
      <c r="F6" s="29" t="s">
        <v>99</v>
      </c>
      <c r="G6" s="29" t="s">
        <v>100</v>
      </c>
      <c r="J6" s="30" t="s">
        <v>101</v>
      </c>
    </row>
    <row r="7" spans="1:10" ht="30" customHeight="1" x14ac:dyDescent="0.25">
      <c r="B7" s="7" t="s">
        <v>102</v>
      </c>
      <c r="C7" s="7"/>
      <c r="D7" s="3" t="s">
        <v>103</v>
      </c>
      <c r="E7" s="3"/>
      <c r="F7" s="33"/>
      <c r="G7" s="31" t="str">
        <f>IF(F7="","",IFERROR(IF(ABS(F7-(23))&lt;0.01,"✓  Correct","✗  Try again"),"✗  Try again"))</f>
        <v/>
      </c>
      <c r="J7" s="2" t="s">
        <v>104</v>
      </c>
    </row>
    <row r="8" spans="1:10" ht="30" customHeight="1" x14ac:dyDescent="0.25">
      <c r="B8" s="7" t="s">
        <v>105</v>
      </c>
      <c r="C8" s="7"/>
      <c r="D8" s="3" t="s">
        <v>106</v>
      </c>
      <c r="E8" s="3"/>
      <c r="F8" s="33"/>
      <c r="G8" s="31" t="str">
        <f>IF(F8="","",IFERROR(IF(ABS(F8-(1014))&lt;0.01,"✓  Correct","✗  Try again"),"✗  Try again"))</f>
        <v/>
      </c>
      <c r="J8" s="2"/>
    </row>
    <row r="9" spans="1:10" ht="30" customHeight="1" x14ac:dyDescent="0.25">
      <c r="B9" s="7" t="s">
        <v>107</v>
      </c>
      <c r="C9" s="7"/>
      <c r="D9" s="3" t="s">
        <v>108</v>
      </c>
      <c r="E9" s="3"/>
      <c r="F9" s="33"/>
      <c r="G9" s="31" t="str">
        <f>IF(F9="","",IFERROR(IF(ABS(F9-(50.7))&lt;0.01,"✓  Correct","✗  Try again"),"✗  Try again"))</f>
        <v/>
      </c>
      <c r="J9" s="2"/>
    </row>
    <row r="10" spans="1:10" ht="30" customHeight="1" x14ac:dyDescent="0.25">
      <c r="B10" s="7" t="s">
        <v>109</v>
      </c>
      <c r="C10" s="7"/>
      <c r="D10" s="3" t="s">
        <v>110</v>
      </c>
      <c r="E10" s="3"/>
      <c r="F10" s="33"/>
      <c r="G10" s="31" t="str">
        <f>IF(F10="","",IFERROR(IF(ABS(F10-(28))&lt;0.01,"✓  Correct","✗  Try again"),"✗  Try again"))</f>
        <v/>
      </c>
      <c r="J10" s="2"/>
    </row>
    <row r="11" spans="1:10" ht="15" customHeight="1" x14ac:dyDescent="0.25"/>
    <row r="12" spans="1:10" ht="30" customHeight="1" x14ac:dyDescent="0.25">
      <c r="A12" s="1" t="s">
        <v>111</v>
      </c>
      <c r="B12" s="1"/>
      <c r="C12" s="1"/>
      <c r="D12" s="1"/>
      <c r="E12" s="1"/>
      <c r="F12" s="1"/>
      <c r="G12" s="1"/>
      <c r="H12" s="1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heetProtection sheet="1" objects="1" scenarios="1" selectLockedCells="1"/>
  <mergeCells count="15">
    <mergeCell ref="A12:H12"/>
    <mergeCell ref="B7:C7"/>
    <mergeCell ref="D7:E7"/>
    <mergeCell ref="J7:J10"/>
    <mergeCell ref="B8:C8"/>
    <mergeCell ref="D8:E8"/>
    <mergeCell ref="B9:C9"/>
    <mergeCell ref="D9:E9"/>
    <mergeCell ref="B10:C10"/>
    <mergeCell ref="D10:E10"/>
    <mergeCell ref="A1:H1"/>
    <mergeCell ref="A2:H2"/>
    <mergeCell ref="A4:H4"/>
    <mergeCell ref="B6:C6"/>
    <mergeCell ref="D6:E6"/>
  </mergeCells>
  <conditionalFormatting sqref="G7:G10">
    <cfRule type="expression" dxfId="5" priority="2">
      <formula>ISNUMBER(SEARCH("Correct",G7))</formula>
    </cfRule>
    <cfRule type="expression" dxfId="4" priority="3">
      <formula>ISNUMBER(SEARCH("Try",G7))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75B6"/>
  </sheetPr>
  <dimension ref="A1:J997"/>
  <sheetViews>
    <sheetView showGridLines="0" zoomScaleNormal="100" workbookViewId="0">
      <selection activeCell="F13" sqref="F13"/>
    </sheetView>
  </sheetViews>
  <sheetFormatPr defaultColWidth="14.42578125" defaultRowHeight="15" x14ac:dyDescent="0.25"/>
  <cols>
    <col min="1" max="1" width="3" customWidth="1"/>
    <col min="2" max="2" width="30" customWidth="1"/>
    <col min="3" max="5" width="14" customWidth="1"/>
    <col min="6" max="6" width="16" customWidth="1"/>
    <col min="7" max="8" width="14" customWidth="1"/>
    <col min="9" max="9" width="1.5703125" customWidth="1"/>
    <col min="10" max="10" width="52" customWidth="1"/>
  </cols>
  <sheetData>
    <row r="1" spans="1:10" ht="30" customHeight="1" x14ac:dyDescent="0.25">
      <c r="A1" s="13" t="s">
        <v>112</v>
      </c>
      <c r="B1" s="13"/>
      <c r="C1" s="13"/>
      <c r="D1" s="13"/>
      <c r="E1" s="13"/>
      <c r="F1" s="13"/>
      <c r="G1" s="13"/>
      <c r="H1" s="13"/>
    </row>
    <row r="2" spans="1:10" ht="21.75" customHeight="1" x14ac:dyDescent="0.25">
      <c r="A2" s="12" t="s">
        <v>113</v>
      </c>
      <c r="B2" s="12"/>
      <c r="C2" s="12"/>
      <c r="D2" s="12"/>
      <c r="E2" s="12"/>
      <c r="F2" s="12"/>
      <c r="G2" s="12"/>
      <c r="H2" s="12"/>
    </row>
    <row r="3" spans="1:10" ht="15" customHeight="1" x14ac:dyDescent="0.25"/>
    <row r="4" spans="1:10" ht="33.75" customHeight="1" x14ac:dyDescent="0.25">
      <c r="A4" s="11" t="s">
        <v>114</v>
      </c>
      <c r="B4" s="11"/>
      <c r="C4" s="11"/>
      <c r="D4" s="11"/>
      <c r="E4" s="11"/>
      <c r="F4" s="11"/>
      <c r="G4" s="11"/>
      <c r="H4" s="11"/>
    </row>
    <row r="5" spans="1:10" ht="15" customHeight="1" x14ac:dyDescent="0.25"/>
    <row r="6" spans="1:10" ht="31.5" customHeight="1" x14ac:dyDescent="0.25">
      <c r="B6" s="11" t="s">
        <v>115</v>
      </c>
      <c r="C6" s="11"/>
      <c r="D6" s="11"/>
      <c r="E6" s="11"/>
      <c r="F6" s="11"/>
      <c r="G6" s="11"/>
      <c r="H6" s="11"/>
    </row>
    <row r="7" spans="1:10" ht="18" customHeight="1" x14ac:dyDescent="0.25">
      <c r="B7" s="11" t="s">
        <v>116</v>
      </c>
      <c r="C7" s="11"/>
      <c r="D7" s="11"/>
      <c r="E7" s="11"/>
      <c r="F7" s="11"/>
      <c r="G7" s="11"/>
      <c r="H7" s="11"/>
    </row>
    <row r="8" spans="1:10" ht="31.5" customHeight="1" x14ac:dyDescent="0.25">
      <c r="B8" s="11" t="s">
        <v>117</v>
      </c>
      <c r="C8" s="11"/>
      <c r="D8" s="11"/>
      <c r="E8" s="11"/>
      <c r="F8" s="11"/>
      <c r="G8" s="11"/>
      <c r="H8" s="11"/>
    </row>
    <row r="9" spans="1:10" ht="18" customHeight="1" x14ac:dyDescent="0.25">
      <c r="B9" s="11" t="s">
        <v>118</v>
      </c>
      <c r="C9" s="11"/>
      <c r="D9" s="11"/>
      <c r="E9" s="11"/>
      <c r="F9" s="11"/>
      <c r="G9" s="11"/>
      <c r="H9" s="11"/>
    </row>
    <row r="10" spans="1:10" ht="15" customHeight="1" x14ac:dyDescent="0.25"/>
    <row r="11" spans="1:10" ht="24" customHeight="1" x14ac:dyDescent="0.25">
      <c r="A11" s="10" t="s">
        <v>119</v>
      </c>
      <c r="B11" s="10"/>
      <c r="C11" s="10"/>
      <c r="D11" s="10"/>
      <c r="E11" s="10"/>
      <c r="F11" s="10"/>
      <c r="G11" s="10"/>
      <c r="H11" s="10"/>
    </row>
    <row r="12" spans="1:10" ht="18" customHeight="1" x14ac:dyDescent="0.25">
      <c r="B12" s="5" t="s">
        <v>120</v>
      </c>
      <c r="C12" s="5"/>
      <c r="D12" s="5"/>
      <c r="E12" s="5"/>
      <c r="F12" s="29" t="s">
        <v>121</v>
      </c>
      <c r="G12" s="29" t="s">
        <v>100</v>
      </c>
      <c r="J12" s="30" t="s">
        <v>101</v>
      </c>
    </row>
    <row r="13" spans="1:10" ht="30" customHeight="1" x14ac:dyDescent="0.25">
      <c r="B13" s="7" t="s">
        <v>122</v>
      </c>
      <c r="C13" s="7"/>
      <c r="D13" s="7"/>
      <c r="E13" s="7"/>
      <c r="F13" s="33"/>
      <c r="G13" s="31" t="str">
        <f>IF(F13="","",IF(ISNUMBER(SEARCH("Swimming",F13)),"✓  Correct","✗  Try again"))</f>
        <v/>
      </c>
      <c r="J13" s="2" t="s">
        <v>123</v>
      </c>
    </row>
    <row r="14" spans="1:10" ht="30" customHeight="1" x14ac:dyDescent="0.25">
      <c r="B14" s="7" t="s">
        <v>124</v>
      </c>
      <c r="C14" s="7"/>
      <c r="D14" s="7"/>
      <c r="E14" s="7"/>
      <c r="F14" s="33"/>
      <c r="G14" s="31" t="str">
        <f>IF(F14="","",IFERROR(IF(ABS(F14-(1014))&lt;0.01,"✓  Correct","✗  Try again"),"✗  Try again"))</f>
        <v/>
      </c>
      <c r="J14" s="2"/>
    </row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sheetProtection sheet="1" objects="1" scenarios="1" selectLockedCells="1"/>
  <mergeCells count="12">
    <mergeCell ref="B13:E13"/>
    <mergeCell ref="J13:J14"/>
    <mergeCell ref="B14:E14"/>
    <mergeCell ref="B8:H8"/>
    <mergeCell ref="B9:H9"/>
    <mergeCell ref="A11:H11"/>
    <mergeCell ref="B12:E12"/>
    <mergeCell ref="A1:H1"/>
    <mergeCell ref="A2:H2"/>
    <mergeCell ref="A4:H4"/>
    <mergeCell ref="B6:H6"/>
    <mergeCell ref="B7:H7"/>
  </mergeCells>
  <conditionalFormatting sqref="G13:G14">
    <cfRule type="expression" dxfId="3" priority="2">
      <formula>ISNUMBER(SEARCH("Correct",G13))</formula>
    </cfRule>
    <cfRule type="expression" dxfId="2" priority="3">
      <formula>ISNUMBER(SEARCH("Try",G13))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75B6"/>
  </sheetPr>
  <dimension ref="A1:J997"/>
  <sheetViews>
    <sheetView showGridLines="0" zoomScaleNormal="100" workbookViewId="0">
      <selection activeCell="F14" sqref="F14:F15"/>
    </sheetView>
  </sheetViews>
  <sheetFormatPr defaultColWidth="14.42578125" defaultRowHeight="15" x14ac:dyDescent="0.25"/>
  <cols>
    <col min="1" max="1" width="3" customWidth="1"/>
    <col min="2" max="2" width="30" customWidth="1"/>
    <col min="3" max="5" width="14" customWidth="1"/>
    <col min="6" max="6" width="16" customWidth="1"/>
    <col min="7" max="8" width="14" customWidth="1"/>
    <col min="9" max="9" width="1.5703125" customWidth="1"/>
    <col min="10" max="10" width="52" customWidth="1"/>
  </cols>
  <sheetData>
    <row r="1" spans="1:10" ht="30" customHeight="1" x14ac:dyDescent="0.25">
      <c r="A1" s="13" t="s">
        <v>125</v>
      </c>
      <c r="B1" s="13"/>
      <c r="C1" s="13"/>
      <c r="D1" s="13"/>
      <c r="E1" s="13"/>
      <c r="F1" s="13"/>
      <c r="G1" s="13"/>
      <c r="H1" s="13"/>
    </row>
    <row r="2" spans="1:10" ht="21.75" customHeight="1" x14ac:dyDescent="0.25">
      <c r="A2" s="12" t="s">
        <v>126</v>
      </c>
      <c r="B2" s="12"/>
      <c r="C2" s="12"/>
      <c r="D2" s="12"/>
      <c r="E2" s="12"/>
      <c r="F2" s="12"/>
      <c r="G2" s="12"/>
      <c r="H2" s="12"/>
    </row>
    <row r="3" spans="1:10" ht="15" customHeight="1" x14ac:dyDescent="0.25"/>
    <row r="4" spans="1:10" ht="33.75" customHeight="1" x14ac:dyDescent="0.25">
      <c r="A4" s="11" t="s">
        <v>127</v>
      </c>
      <c r="B4" s="11"/>
      <c r="C4" s="11"/>
      <c r="D4" s="11"/>
      <c r="E4" s="11"/>
      <c r="F4" s="11"/>
      <c r="G4" s="11"/>
      <c r="H4" s="11"/>
    </row>
    <row r="5" spans="1:10" ht="15" customHeight="1" x14ac:dyDescent="0.25"/>
    <row r="6" spans="1:10" ht="31.5" customHeight="1" x14ac:dyDescent="0.25">
      <c r="B6" s="11" t="s">
        <v>128</v>
      </c>
      <c r="C6" s="11"/>
      <c r="D6" s="11"/>
      <c r="E6" s="11"/>
      <c r="F6" s="11"/>
      <c r="G6" s="11"/>
      <c r="H6" s="11"/>
    </row>
    <row r="7" spans="1:10" ht="18" customHeight="1" x14ac:dyDescent="0.25">
      <c r="B7" s="11" t="s">
        <v>129</v>
      </c>
      <c r="C7" s="11"/>
      <c r="D7" s="11"/>
      <c r="E7" s="11"/>
      <c r="F7" s="11"/>
      <c r="G7" s="11"/>
      <c r="H7" s="11"/>
    </row>
    <row r="8" spans="1:10" ht="18" customHeight="1" x14ac:dyDescent="0.25">
      <c r="B8" s="11" t="s">
        <v>130</v>
      </c>
      <c r="C8" s="11"/>
      <c r="D8" s="11"/>
      <c r="E8" s="11"/>
      <c r="F8" s="11"/>
      <c r="G8" s="11"/>
      <c r="H8" s="11"/>
    </row>
    <row r="9" spans="1:10" ht="18" customHeight="1" x14ac:dyDescent="0.25">
      <c r="B9" s="11" t="s">
        <v>131</v>
      </c>
      <c r="C9" s="11"/>
      <c r="D9" s="11"/>
      <c r="E9" s="11"/>
      <c r="F9" s="11"/>
      <c r="G9" s="11"/>
      <c r="H9" s="11"/>
    </row>
    <row r="10" spans="1:10" ht="18" customHeight="1" x14ac:dyDescent="0.25">
      <c r="B10" s="11" t="s">
        <v>132</v>
      </c>
      <c r="C10" s="11"/>
      <c r="D10" s="11"/>
      <c r="E10" s="11"/>
      <c r="F10" s="11"/>
      <c r="G10" s="11"/>
      <c r="H10" s="11"/>
    </row>
    <row r="11" spans="1:10" ht="15" customHeight="1" x14ac:dyDescent="0.25"/>
    <row r="12" spans="1:10" ht="24" customHeight="1" x14ac:dyDescent="0.25">
      <c r="A12" s="10" t="s">
        <v>119</v>
      </c>
      <c r="B12" s="10"/>
      <c r="C12" s="10"/>
      <c r="D12" s="10"/>
      <c r="E12" s="10"/>
      <c r="F12" s="10"/>
      <c r="G12" s="10"/>
      <c r="H12" s="10"/>
    </row>
    <row r="13" spans="1:10" ht="18" customHeight="1" x14ac:dyDescent="0.25">
      <c r="B13" s="5" t="s">
        <v>120</v>
      </c>
      <c r="C13" s="5"/>
      <c r="D13" s="5"/>
      <c r="E13" s="5"/>
      <c r="F13" s="29" t="s">
        <v>121</v>
      </c>
      <c r="G13" s="29" t="s">
        <v>100</v>
      </c>
      <c r="J13" s="30" t="s">
        <v>101</v>
      </c>
    </row>
    <row r="14" spans="1:10" ht="30" customHeight="1" x14ac:dyDescent="0.25">
      <c r="B14" s="7" t="s">
        <v>133</v>
      </c>
      <c r="C14" s="7"/>
      <c r="D14" s="7"/>
      <c r="E14" s="7"/>
      <c r="F14" s="33"/>
      <c r="G14" s="31" t="str">
        <f>IF(F14="","",IFERROR(IF(ABS(F14-(630))&lt;0.01,"✓  Correct","✗  Try again"),"✗  Try again"))</f>
        <v/>
      </c>
      <c r="J14" s="2" t="s">
        <v>134</v>
      </c>
    </row>
    <row r="15" spans="1:10" ht="30" customHeight="1" x14ac:dyDescent="0.25">
      <c r="B15" s="7" t="s">
        <v>135</v>
      </c>
      <c r="C15" s="7"/>
      <c r="D15" s="7"/>
      <c r="E15" s="7"/>
      <c r="F15" s="33"/>
      <c r="G15" s="31" t="str">
        <f>IF(F15="","",IFERROR(IF(ABS(F15-(11))&lt;0.01,"✓  Correct","✗  Try again"),"✗  Try again"))</f>
        <v/>
      </c>
      <c r="J15" s="2"/>
    </row>
    <row r="16" spans="1:10" ht="33.75" customHeight="1" x14ac:dyDescent="0.25">
      <c r="A16" s="1" t="s">
        <v>136</v>
      </c>
      <c r="B16" s="1"/>
      <c r="C16" s="1"/>
      <c r="D16" s="1"/>
      <c r="E16" s="1"/>
      <c r="F16" s="1"/>
      <c r="G16" s="1"/>
      <c r="H16" s="1"/>
    </row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sheetProtection sheet="1" objects="1" scenarios="1" selectLockedCells="1"/>
  <mergeCells count="14">
    <mergeCell ref="B13:E13"/>
    <mergeCell ref="B14:E14"/>
    <mergeCell ref="J14:J15"/>
    <mergeCell ref="B15:E15"/>
    <mergeCell ref="A16:H16"/>
    <mergeCell ref="B8:H8"/>
    <mergeCell ref="B9:H9"/>
    <mergeCell ref="B10:H10"/>
    <mergeCell ref="A12:H12"/>
    <mergeCell ref="A1:H1"/>
    <mergeCell ref="A2:H2"/>
    <mergeCell ref="A4:H4"/>
    <mergeCell ref="B6:H6"/>
    <mergeCell ref="B7:H7"/>
  </mergeCells>
  <conditionalFormatting sqref="G14:G15">
    <cfRule type="expression" dxfId="1" priority="2">
      <formula>ISNUMBER(SEARCH("Correct",G14))</formula>
    </cfRule>
    <cfRule type="expression" dxfId="0" priority="3">
      <formula>ISNUMBER(SEARCH("Try",G14))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E75B6"/>
  </sheetPr>
  <dimension ref="A1:C996"/>
  <sheetViews>
    <sheetView showGridLines="0" zoomScaleNormal="100" workbookViewId="0">
      <selection activeCell="B6" sqref="B6:B11"/>
    </sheetView>
  </sheetViews>
  <sheetFormatPr defaultColWidth="14.42578125" defaultRowHeight="15" x14ac:dyDescent="0.25"/>
  <cols>
    <col min="1" max="1" width="3" customWidth="1"/>
    <col min="2" max="2" width="12" customWidth="1"/>
    <col min="3" max="3" width="88.140625" customWidth="1"/>
    <col min="4" max="4" width="12" customWidth="1"/>
    <col min="5" max="8" width="8.7109375" customWidth="1"/>
  </cols>
  <sheetData>
    <row r="1" spans="1:3" ht="30" customHeight="1" x14ac:dyDescent="0.25">
      <c r="A1" s="13" t="s">
        <v>137</v>
      </c>
      <c r="B1" s="13"/>
      <c r="C1" s="13"/>
    </row>
    <row r="2" spans="1:3" ht="21.75" customHeight="1" x14ac:dyDescent="0.25">
      <c r="A2" s="12" t="s">
        <v>138</v>
      </c>
      <c r="B2" s="12"/>
      <c r="C2" s="12"/>
    </row>
    <row r="3" spans="1:3" ht="15" customHeight="1" x14ac:dyDescent="0.25"/>
    <row r="4" spans="1:3" ht="27.75" customHeight="1" x14ac:dyDescent="0.25">
      <c r="A4" s="11" t="s">
        <v>139</v>
      </c>
      <c r="B4" s="11"/>
      <c r="C4" s="11"/>
    </row>
    <row r="5" spans="1:3" ht="15" customHeight="1" x14ac:dyDescent="0.25"/>
    <row r="6" spans="1:3" ht="24" customHeight="1" x14ac:dyDescent="0.25">
      <c r="B6" s="33"/>
      <c r="C6" s="19" t="s">
        <v>140</v>
      </c>
    </row>
    <row r="7" spans="1:3" ht="24" customHeight="1" x14ac:dyDescent="0.25">
      <c r="B7" s="33"/>
      <c r="C7" s="19" t="s">
        <v>141</v>
      </c>
    </row>
    <row r="8" spans="1:3" ht="24" customHeight="1" x14ac:dyDescent="0.25">
      <c r="B8" s="33"/>
      <c r="C8" s="19" t="s">
        <v>142</v>
      </c>
    </row>
    <row r="9" spans="1:3" ht="24" customHeight="1" x14ac:dyDescent="0.25">
      <c r="B9" s="33"/>
      <c r="C9" s="19" t="s">
        <v>143</v>
      </c>
    </row>
    <row r="10" spans="1:3" ht="24" customHeight="1" x14ac:dyDescent="0.25">
      <c r="B10" s="33"/>
      <c r="C10" s="19" t="s">
        <v>144</v>
      </c>
    </row>
    <row r="11" spans="1:3" ht="24" customHeight="1" x14ac:dyDescent="0.25">
      <c r="B11" s="33"/>
      <c r="C11" s="19" t="s">
        <v>145</v>
      </c>
    </row>
    <row r="12" spans="1:3" ht="1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sheetProtection sheet="1" objects="1" scenarios="1" selectLockedCells="1"/>
  <mergeCells count="3">
    <mergeCell ref="A1:C1"/>
    <mergeCell ref="A2:C2"/>
    <mergeCell ref="A4:C4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48235"/>
  </sheetPr>
  <dimension ref="A1:C1000"/>
  <sheetViews>
    <sheetView showGridLines="0" zoomScaleNormal="100" workbookViewId="0">
      <selection activeCell="E10" sqref="E10"/>
    </sheetView>
  </sheetViews>
  <sheetFormatPr defaultColWidth="14.42578125" defaultRowHeight="15" x14ac:dyDescent="0.25"/>
  <cols>
    <col min="1" max="1" width="3" customWidth="1"/>
    <col min="2" max="2" width="26" customWidth="1"/>
    <col min="3" max="3" width="70" customWidth="1"/>
    <col min="4" max="8" width="8.7109375" customWidth="1"/>
  </cols>
  <sheetData>
    <row r="1" spans="1:3" ht="30" customHeight="1" x14ac:dyDescent="0.25">
      <c r="A1" s="13" t="s">
        <v>146</v>
      </c>
      <c r="B1" s="13"/>
      <c r="C1" s="13"/>
    </row>
    <row r="2" spans="1:3" ht="21.75" customHeight="1" x14ac:dyDescent="0.25">
      <c r="A2" s="12" t="s">
        <v>147</v>
      </c>
      <c r="B2" s="12"/>
      <c r="C2" s="12"/>
    </row>
    <row r="3" spans="1:3" ht="15" customHeight="1" x14ac:dyDescent="0.25"/>
    <row r="4" spans="1:3" ht="39.75" customHeight="1" x14ac:dyDescent="0.25">
      <c r="B4" s="18" t="s">
        <v>148</v>
      </c>
      <c r="C4" s="19" t="s">
        <v>149</v>
      </c>
    </row>
    <row r="5" spans="1:3" ht="39.75" customHeight="1" x14ac:dyDescent="0.25">
      <c r="B5" s="18" t="s">
        <v>150</v>
      </c>
      <c r="C5" s="19" t="s">
        <v>151</v>
      </c>
    </row>
    <row r="6" spans="1:3" ht="39.75" customHeight="1" x14ac:dyDescent="0.25">
      <c r="B6" s="18" t="s">
        <v>152</v>
      </c>
      <c r="C6" s="19" t="s">
        <v>153</v>
      </c>
    </row>
    <row r="7" spans="1:3" ht="39.75" customHeight="1" x14ac:dyDescent="0.25">
      <c r="B7" s="18" t="s">
        <v>154</v>
      </c>
      <c r="C7" s="19" t="s">
        <v>155</v>
      </c>
    </row>
    <row r="8" spans="1:3" ht="39.75" customHeight="1" x14ac:dyDescent="0.25">
      <c r="B8" s="18" t="s">
        <v>156</v>
      </c>
      <c r="C8" s="19" t="s">
        <v>157</v>
      </c>
    </row>
    <row r="9" spans="1:3" ht="39.75" customHeight="1" x14ac:dyDescent="0.25">
      <c r="B9" s="18" t="s">
        <v>158</v>
      </c>
      <c r="C9" s="19" t="s">
        <v>159</v>
      </c>
    </row>
    <row r="10" spans="1:3" ht="39.75" customHeight="1" x14ac:dyDescent="0.25">
      <c r="B10" s="18" t="s">
        <v>160</v>
      </c>
      <c r="C10" s="19" t="s">
        <v>161</v>
      </c>
    </row>
    <row r="11" spans="1:3" ht="39.75" customHeight="1" x14ac:dyDescent="0.25">
      <c r="B11" s="18" t="s">
        <v>162</v>
      </c>
      <c r="C11" s="19" t="s">
        <v>163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heetProtection sheet="1" objects="1" scenarios="1" selectLockedCells="1"/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30A0"/>
  </sheetPr>
  <dimension ref="A1:E1000"/>
  <sheetViews>
    <sheetView showGridLines="0" zoomScaleNormal="100" workbookViewId="0">
      <selection activeCell="D7" sqref="D7:E7"/>
    </sheetView>
  </sheetViews>
  <sheetFormatPr defaultColWidth="14.42578125" defaultRowHeight="15" x14ac:dyDescent="0.25"/>
  <cols>
    <col min="1" max="1" width="3" customWidth="1"/>
    <col min="2" max="2" width="54" customWidth="1"/>
    <col min="3" max="4" width="16" customWidth="1"/>
    <col min="5" max="5" width="36" customWidth="1"/>
    <col min="6" max="8" width="8.7109375" customWidth="1"/>
  </cols>
  <sheetData>
    <row r="1" spans="1:5" ht="30" customHeight="1" x14ac:dyDescent="0.25">
      <c r="A1" s="13" t="s">
        <v>164</v>
      </c>
      <c r="B1" s="13"/>
      <c r="C1" s="13"/>
      <c r="D1" s="13"/>
      <c r="E1" s="13"/>
    </row>
    <row r="2" spans="1:5" ht="21.75" customHeight="1" x14ac:dyDescent="0.25">
      <c r="A2" s="12" t="s">
        <v>165</v>
      </c>
      <c r="B2" s="12"/>
      <c r="C2" s="12"/>
      <c r="D2" s="12"/>
      <c r="E2" s="12"/>
    </row>
    <row r="3" spans="1:5" ht="15" customHeight="1" x14ac:dyDescent="0.25"/>
    <row r="4" spans="1:5" ht="30" customHeight="1" x14ac:dyDescent="0.25">
      <c r="A4" s="11" t="s">
        <v>166</v>
      </c>
      <c r="B4" s="11"/>
      <c r="C4" s="11"/>
      <c r="D4" s="11"/>
      <c r="E4" s="11"/>
    </row>
    <row r="5" spans="1:5" ht="15" customHeight="1" x14ac:dyDescent="0.25"/>
    <row r="6" spans="1:5" ht="24" customHeight="1" x14ac:dyDescent="0.25">
      <c r="A6" s="10" t="s">
        <v>167</v>
      </c>
      <c r="B6" s="10"/>
      <c r="C6" s="10"/>
      <c r="D6" s="10"/>
      <c r="E6" s="10"/>
    </row>
    <row r="7" spans="1:5" ht="43.5" customHeight="1" x14ac:dyDescent="0.25">
      <c r="B7" s="7" t="s">
        <v>168</v>
      </c>
      <c r="C7" s="7"/>
      <c r="D7" s="34"/>
      <c r="E7" s="34"/>
    </row>
    <row r="8" spans="1:5" ht="43.5" customHeight="1" x14ac:dyDescent="0.25">
      <c r="B8" s="7" t="s">
        <v>169</v>
      </c>
      <c r="C8" s="7"/>
      <c r="D8" s="34"/>
      <c r="E8" s="34"/>
    </row>
    <row r="9" spans="1:5" ht="43.5" customHeight="1" x14ac:dyDescent="0.25">
      <c r="B9" s="7" t="s">
        <v>170</v>
      </c>
      <c r="C9" s="7"/>
      <c r="D9" s="34"/>
      <c r="E9" s="34"/>
    </row>
    <row r="10" spans="1:5" ht="43.5" customHeight="1" x14ac:dyDescent="0.25">
      <c r="B10" s="7" t="s">
        <v>171</v>
      </c>
      <c r="C10" s="7"/>
      <c r="D10" s="34"/>
      <c r="E10" s="34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heetProtection sheet="1" objects="1" scenarios="1" selectLockedCells="1"/>
  <mergeCells count="12">
    <mergeCell ref="B8:C8"/>
    <mergeCell ref="D8:E8"/>
    <mergeCell ref="B9:C9"/>
    <mergeCell ref="D9:E9"/>
    <mergeCell ref="B10:C10"/>
    <mergeCell ref="D10:E10"/>
    <mergeCell ref="A1:E1"/>
    <mergeCell ref="A2:E2"/>
    <mergeCell ref="A4:E4"/>
    <mergeCell ref="A6:E6"/>
    <mergeCell ref="B7:C7"/>
    <mergeCell ref="D7:E7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BF8F00"/>
  </sheetPr>
  <dimension ref="A1:V1000"/>
  <sheetViews>
    <sheetView showGridLines="0" zoomScaleNormal="100" workbookViewId="0">
      <selection activeCell="E15" activeCellId="1" sqref="C6:C10 E15:E18"/>
    </sheetView>
  </sheetViews>
  <sheetFormatPr defaultColWidth="14.42578125" defaultRowHeight="15" x14ac:dyDescent="0.25"/>
  <cols>
    <col min="1" max="1" width="3" customWidth="1"/>
    <col min="2" max="2" width="50" customWidth="1"/>
    <col min="3" max="5" width="16" customWidth="1"/>
    <col min="6" max="6" width="32.5703125" customWidth="1"/>
    <col min="7" max="8" width="8.7109375" customWidth="1"/>
    <col min="10" max="22" width="3.42578125" customWidth="1"/>
  </cols>
  <sheetData>
    <row r="1" spans="1:22" ht="30" customHeight="1" x14ac:dyDescent="0.25">
      <c r="A1" s="13" t="s">
        <v>172</v>
      </c>
      <c r="B1" s="13"/>
      <c r="C1" s="13"/>
      <c r="D1" s="13"/>
      <c r="E1" s="13"/>
      <c r="F1" s="13"/>
      <c r="J1" s="14" t="s">
        <v>1</v>
      </c>
    </row>
    <row r="2" spans="1:22" ht="21.75" customHeight="1" x14ac:dyDescent="0.25">
      <c r="A2" s="12" t="s">
        <v>173</v>
      </c>
      <c r="B2" s="12"/>
      <c r="C2" s="12"/>
      <c r="D2" s="12"/>
      <c r="E2" s="12"/>
      <c r="F2" s="12"/>
      <c r="J2" s="15">
        <v>1</v>
      </c>
      <c r="K2" s="15">
        <v>2</v>
      </c>
      <c r="L2" s="15">
        <v>3</v>
      </c>
      <c r="M2" s="15">
        <v>4</v>
      </c>
      <c r="N2" s="15">
        <v>5</v>
      </c>
      <c r="O2" s="15">
        <v>6</v>
      </c>
      <c r="P2" s="15">
        <v>7</v>
      </c>
      <c r="Q2" s="15">
        <v>8</v>
      </c>
      <c r="R2" s="15">
        <v>9</v>
      </c>
      <c r="S2" s="15">
        <v>10</v>
      </c>
      <c r="T2" s="15">
        <v>11</v>
      </c>
      <c r="U2" s="16">
        <v>12</v>
      </c>
      <c r="V2" s="15">
        <v>13</v>
      </c>
    </row>
    <row r="3" spans="1:22" ht="15" customHeight="1" x14ac:dyDescent="0.25"/>
    <row r="4" spans="1:22" ht="24" customHeight="1" x14ac:dyDescent="0.25">
      <c r="A4" s="10" t="s">
        <v>174</v>
      </c>
      <c r="B4" s="10"/>
      <c r="C4" s="10"/>
      <c r="D4" s="10"/>
      <c r="E4" s="10"/>
      <c r="F4" s="10"/>
      <c r="G4" s="10"/>
      <c r="H4" s="10"/>
    </row>
    <row r="5" spans="1:22" ht="18" customHeight="1" x14ac:dyDescent="0.25">
      <c r="A5" s="11" t="s">
        <v>175</v>
      </c>
      <c r="B5" s="11"/>
      <c r="C5" s="11"/>
      <c r="D5" s="11"/>
      <c r="E5" s="11"/>
      <c r="F5" s="11"/>
      <c r="G5" s="11"/>
      <c r="H5" s="11"/>
    </row>
    <row r="6" spans="1:22" ht="24" customHeight="1" x14ac:dyDescent="0.25">
      <c r="C6" s="33"/>
      <c r="D6" s="7" t="s">
        <v>176</v>
      </c>
      <c r="E6" s="7"/>
      <c r="F6" s="7"/>
    </row>
    <row r="7" spans="1:22" ht="24" customHeight="1" x14ac:dyDescent="0.25">
      <c r="C7" s="33"/>
      <c r="D7" s="7" t="s">
        <v>177</v>
      </c>
      <c r="E7" s="7"/>
      <c r="F7" s="7"/>
    </row>
    <row r="8" spans="1:22" ht="24" customHeight="1" x14ac:dyDescent="0.25">
      <c r="C8" s="33"/>
      <c r="D8" s="7" t="s">
        <v>178</v>
      </c>
      <c r="E8" s="7"/>
      <c r="F8" s="7"/>
    </row>
    <row r="9" spans="1:22" ht="24" customHeight="1" x14ac:dyDescent="0.25">
      <c r="C9" s="33"/>
      <c r="D9" s="7" t="s">
        <v>179</v>
      </c>
      <c r="E9" s="7"/>
      <c r="F9" s="7"/>
    </row>
    <row r="10" spans="1:22" ht="24" customHeight="1" x14ac:dyDescent="0.25">
      <c r="C10" s="33"/>
      <c r="D10" s="7" t="s">
        <v>180</v>
      </c>
      <c r="E10" s="7"/>
      <c r="F10" s="7"/>
    </row>
    <row r="11" spans="1:22" ht="15" customHeight="1" x14ac:dyDescent="0.25"/>
    <row r="12" spans="1:22" ht="24" customHeight="1" x14ac:dyDescent="0.25">
      <c r="A12" s="10" t="s">
        <v>181</v>
      </c>
      <c r="B12" s="10"/>
      <c r="C12" s="10"/>
      <c r="D12" s="10"/>
      <c r="E12" s="10"/>
      <c r="F12" s="10"/>
      <c r="G12" s="10"/>
      <c r="H12" s="10"/>
    </row>
    <row r="13" spans="1:22" ht="18" customHeight="1" x14ac:dyDescent="0.25">
      <c r="A13" s="11" t="s">
        <v>182</v>
      </c>
      <c r="B13" s="11"/>
      <c r="C13" s="11"/>
      <c r="D13" s="11"/>
      <c r="E13" s="11"/>
      <c r="F13" s="11"/>
      <c r="G13" s="11"/>
      <c r="H13" s="11"/>
    </row>
    <row r="14" spans="1:22" ht="18" customHeight="1" x14ac:dyDescent="0.25">
      <c r="B14" s="8" t="s">
        <v>12</v>
      </c>
      <c r="C14" s="8"/>
      <c r="D14" s="8"/>
      <c r="E14" s="17" t="s">
        <v>183</v>
      </c>
    </row>
    <row r="15" spans="1:22" ht="21.75" customHeight="1" x14ac:dyDescent="0.25">
      <c r="B15" s="7" t="s">
        <v>14</v>
      </c>
      <c r="C15" s="7"/>
      <c r="D15" s="7"/>
      <c r="E15" s="33"/>
    </row>
    <row r="16" spans="1:22" ht="21.75" customHeight="1" x14ac:dyDescent="0.25">
      <c r="B16" s="7" t="s">
        <v>15</v>
      </c>
      <c r="C16" s="7"/>
      <c r="D16" s="7"/>
      <c r="E16" s="33"/>
    </row>
    <row r="17" spans="2:6" ht="21.75" customHeight="1" x14ac:dyDescent="0.25">
      <c r="B17" s="7" t="s">
        <v>16</v>
      </c>
      <c r="C17" s="7"/>
      <c r="D17" s="7"/>
      <c r="E17" s="33"/>
    </row>
    <row r="18" spans="2:6" ht="21.75" customHeight="1" x14ac:dyDescent="0.25">
      <c r="B18" s="7" t="s">
        <v>17</v>
      </c>
      <c r="C18" s="7"/>
      <c r="D18" s="7"/>
      <c r="E18" s="33"/>
    </row>
    <row r="19" spans="2:6" ht="15" customHeight="1" x14ac:dyDescent="0.25"/>
    <row r="20" spans="2:6" ht="15" customHeight="1" x14ac:dyDescent="0.25">
      <c r="B20" s="9" t="s">
        <v>184</v>
      </c>
      <c r="C20" s="9"/>
      <c r="D20" s="9"/>
      <c r="E20" s="9"/>
      <c r="F20" s="9"/>
    </row>
    <row r="21" spans="2:6" ht="15.75" customHeight="1" x14ac:dyDescent="0.25">
      <c r="B21" s="9"/>
      <c r="C21" s="9"/>
      <c r="D21" s="9"/>
      <c r="E21" s="9"/>
      <c r="F21" s="9"/>
    </row>
    <row r="22" spans="2:6" ht="15.75" customHeight="1" x14ac:dyDescent="0.25">
      <c r="B22" s="9"/>
      <c r="C22" s="9"/>
      <c r="D22" s="9"/>
      <c r="E22" s="9"/>
      <c r="F22" s="9"/>
    </row>
    <row r="23" spans="2:6" ht="15.75" customHeight="1" x14ac:dyDescent="0.25"/>
    <row r="24" spans="2:6" ht="15.75" customHeight="1" x14ac:dyDescent="0.25"/>
    <row r="25" spans="2:6" ht="15.75" customHeight="1" x14ac:dyDescent="0.25"/>
    <row r="26" spans="2:6" ht="15.75" customHeight="1" x14ac:dyDescent="0.25"/>
    <row r="27" spans="2:6" ht="15.75" customHeight="1" x14ac:dyDescent="0.25"/>
    <row r="28" spans="2:6" ht="15.75" customHeight="1" x14ac:dyDescent="0.25"/>
    <row r="29" spans="2:6" ht="15.75" customHeight="1" x14ac:dyDescent="0.25"/>
    <row r="30" spans="2:6" ht="15.75" customHeight="1" x14ac:dyDescent="0.25"/>
    <row r="31" spans="2:6" ht="15.75" customHeight="1" x14ac:dyDescent="0.25"/>
    <row r="32" spans="2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heetProtection sheet="1" objects="1" scenarios="1" selectLockedCells="1"/>
  <mergeCells count="17">
    <mergeCell ref="B18:D18"/>
    <mergeCell ref="B20:F22"/>
    <mergeCell ref="A13:H13"/>
    <mergeCell ref="B14:D14"/>
    <mergeCell ref="B15:D15"/>
    <mergeCell ref="B16:D16"/>
    <mergeCell ref="B17:D17"/>
    <mergeCell ref="D7:F7"/>
    <mergeCell ref="D8:F8"/>
    <mergeCell ref="D9:F9"/>
    <mergeCell ref="D10:F10"/>
    <mergeCell ref="A12:H12"/>
    <mergeCell ref="A1:F1"/>
    <mergeCell ref="A2:F2"/>
    <mergeCell ref="A4:H4"/>
    <mergeCell ref="A5:H5"/>
    <mergeCell ref="D6:F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Start Here</vt:lpstr>
      <vt:lpstr>Plan the Dashboard</vt:lpstr>
      <vt:lpstr>Club Data</vt:lpstr>
      <vt:lpstr>Bookings_All</vt:lpstr>
      <vt:lpstr>Task 1 - KPI Cards</vt:lpstr>
      <vt:lpstr>Task 2 - Pivots &amp; Charts</vt:lpstr>
      <vt:lpstr>Task 3 - Connect a Slicer</vt:lpstr>
      <vt:lpstr>Task 4 - Lay Out &amp; Tidy</vt:lpstr>
      <vt:lpstr>Support</vt:lpstr>
      <vt:lpstr>Stretch</vt:lpstr>
      <vt:lpstr>Confidence &amp; Next Steps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Michael Chittenden</cp:lastModifiedBy>
  <cp:revision>0</cp:revision>
  <dcterms:created xsi:type="dcterms:W3CDTF">2026-06-10T13:07:26Z</dcterms:created>
  <dcterms:modified xsi:type="dcterms:W3CDTF">2026-06-22T21:47:30Z</dcterms:modified>
  <dc:language>en-US</dc:language>
</cp:coreProperties>
</file>