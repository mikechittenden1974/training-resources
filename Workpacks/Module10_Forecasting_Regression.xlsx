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training-resources\"/>
    </mc:Choice>
  </mc:AlternateContent>
  <xr:revisionPtr revIDLastSave="0" documentId="13_ncr:1_{A280BB17-1F4C-4204-8E06-2AF9B084B62D}" xr6:coauthVersionLast="47" xr6:coauthVersionMax="47" xr10:uidLastSave="{00000000-0000-0000-0000-000000000000}"/>
  <bookViews>
    <workbookView xWindow="28680" yWindow="-120" windowWidth="29040" windowHeight="17520" tabRatio="597" activeTab="5" xr2:uid="{00000000-000D-0000-FFFF-FFFF00000000}"/>
  </bookViews>
  <sheets>
    <sheet name="Start Here" sheetId="1" r:id="rId1"/>
    <sheet name="Warm-up" sheetId="2" r:id="rId2"/>
    <sheet name="Riverside_Monthly" sheetId="3" r:id="rId3"/>
    <sheet name="Task 1 - Forecasting" sheetId="4" r:id="rId4"/>
    <sheet name="Task 2 - Regression" sheetId="5" r:id="rId5"/>
    <sheet name="Task 3 - Predict" sheetId="6" r:id="rId6"/>
    <sheet name="Support" sheetId="7" r:id="rId7"/>
    <sheet name="Stretch" sheetId="8" r:id="rId8"/>
    <sheet name="Confidence &amp; Next Steps" sheetId="9" r:id="rId9"/>
  </sheets>
  <definedNames>
    <definedName name="_xlnm._FilterDatabase" localSheetId="2" hidden="1">Riverside_Monthly!$A$4:$C$28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6" l="1"/>
  <c r="G9" i="5"/>
  <c r="G8" i="5"/>
  <c r="G7" i="5"/>
  <c r="G8" i="4"/>
  <c r="G7" i="4"/>
  <c r="G17" i="2"/>
  <c r="G16" i="2"/>
  <c r="G15" i="2"/>
  <c r="G14" i="2"/>
</calcChain>
</file>

<file path=xl/sharedStrings.xml><?xml version="1.0" encoding="utf-8"?>
<sst xmlns="http://schemas.openxmlformats.org/spreadsheetml/2006/main" count="133" uniqueCount="112">
  <si>
    <t>Module 10  -  Forecasting &amp; Regression</t>
  </si>
  <si>
    <t>YOUR JOURNEY</t>
  </si>
  <si>
    <t>Project a trend forward, and fit a straight line  -  Self-paced</t>
  </si>
  <si>
    <t>So far you've described data as it is. This module looks AHEAD and at RELATIONSHIPS. You'll use 24 months of Riverside history to (1) FORECAST where a trend is heading, and (2) fit a simple straight-line REGRESSION between two measures. Note: this goes a little beyond the core Level 3 standard - treat it as a confident extension, kept deliberately simple.</t>
  </si>
  <si>
    <t>Two new ideas</t>
  </si>
  <si>
    <t>FORECASTING: if numbers follow a trend over time, you can extend that trend to estimate a future value. Excel's FORECAST (or TREND) does the maths.</t>
  </si>
  <si>
    <t>REGRESSION: when two measures move together (e.g. members and revenue), a straight line summarises the relationship. SLOPE = how much Y rises per +1 X; INTERCEPT = where the line starts; R-squared (RSQ) = how well the line fits (1.0 = perfect).</t>
  </si>
  <si>
    <t>A forecast or a line is an ESTIMATE, not a fact - always say how well it fits and how far ahead you're guessing.</t>
  </si>
  <si>
    <t>What you'll do</t>
  </si>
  <si>
    <t>•  Forecast next month's membership from the trend.</t>
  </si>
  <si>
    <t>•  Fit a line of Revenue against Members: SLOPE, INTERCEPT, R-squared.</t>
  </si>
  <si>
    <t>•  Use the line to predict revenue for a given membership.</t>
  </si>
  <si>
    <t>Before you start</t>
  </si>
  <si>
    <t>This sounds advanced but Excel does the hard sums - you point a function at two columns. Try the perfectly-straight warm-up first so you can see what the numbers MEAN, then use the real, slightly messy history. Breathe (in 4, hold 4, out 6).</t>
  </si>
  <si>
    <t>Your confidence baseline  (1 = not yet, 5 = confident)</t>
  </si>
  <si>
    <t>Statement</t>
  </si>
  <si>
    <t>Rating (1-5)</t>
  </si>
  <si>
    <t>I understand what a forecast is (and its limits)</t>
  </si>
  <si>
    <t>I can use FORECAST / TREND</t>
  </si>
  <si>
    <t>I can find SLOPE, INTERCEPT and R-squared</t>
  </si>
  <si>
    <t>I can read what slope and R-squared tell me</t>
  </si>
  <si>
    <t>Warm-up - a perfectly straight line</t>
  </si>
  <si>
    <t>x in B7:B11, y in C7:C11  (y is exactly 10 times x)</t>
  </si>
  <si>
    <t>When points sit exactly on a line, the numbers are obvious: every +1 in x adds 10 to y, the line passes through 0, and the fit is perfect (R-squared = 1). Confirm each with a formula.</t>
  </si>
  <si>
    <t>x</t>
  </si>
  <si>
    <t>y</t>
  </si>
  <si>
    <t>What to calculate</t>
  </si>
  <si>
    <t>Type this kind of formula</t>
  </si>
  <si>
    <t>Your result</t>
  </si>
  <si>
    <t>Check</t>
  </si>
  <si>
    <t>🧭 Explore further</t>
  </si>
  <si>
    <t>Slope (how much y rises per +1 x)</t>
  </si>
  <si>
    <t>e.g.  =SLOPE(C7:C11,B7:B11)</t>
  </si>
  <si>
    <t>Explore: nudge one y value off the line (try 31 instead of 30) and watch SLOPE, INTERCEPT and RSQ all shift. How big a nudge does it take to pull R-squared below 0.99?</t>
  </si>
  <si>
    <t>Intercept (y where x = 0)</t>
  </si>
  <si>
    <t>e.g.  =INTERCEPT(C7:C11,B7:B11)</t>
  </si>
  <si>
    <t>R-squared (fit; 1 = perfect)</t>
  </si>
  <si>
    <t>e.g.  =RSQ(C7:C11,B7:B11)</t>
  </si>
  <si>
    <t>Forecast y when x = 6</t>
  </si>
  <si>
    <t>e.g.  =FORECAST(6,C7:C11,B7:B11)</t>
  </si>
  <si>
    <t>Read it back: slope 10 means 'y goes up 10 for each extra x'; intercept 0 means the line starts at the origin; R-squared 1 means a perfect fit; the forecast at x=6 is 60.</t>
  </si>
  <si>
    <t>Data: 24-month history</t>
  </si>
  <si>
    <t>Month=Riverside_Monthly!A5:A28, Members=Riverside_Monthly!B5:B28, Revenue=Riverside_Monthly!C5:C28</t>
  </si>
  <si>
    <t>Month</t>
  </si>
  <si>
    <t>Members</t>
  </si>
  <si>
    <t>Revenue</t>
  </si>
  <si>
    <t>Task 1 - Forecast the trend</t>
  </si>
  <si>
    <t>Where is membership heading?</t>
  </si>
  <si>
    <t>Membership has climbed steadily over 24 months. FORECAST(future_x, known_ys, known_xs) extends the trend. Members=Riverside_Monthly!B5:B28, Month=Riverside_Monthly!A5:A28. Round to whole members.</t>
  </si>
  <si>
    <t>Forecast members at month 25</t>
  </si>
  <si>
    <t>e.g.  =ROUND(FORECAST(25,Riverside_Monthly!B5:B28,Riverside_Monthly!A5:A28),0)</t>
  </si>
  <si>
    <t>Explore: =FORECAST.LINEAR gives the identical answer (newer name, same maths). Then try =TREND(B5:B28,A5:A28,{25;26;27}) — three future months in one go.</t>
  </si>
  <si>
    <t>Forecast members at month 30</t>
  </si>
  <si>
    <t>e.g.  =ROUND(FORECAST(30,Riverside_Monthly!B5:B28,Riverside_Monthly!A5:A28),0)</t>
  </si>
  <si>
    <t>💡  Health warning: a forecast assumes the trend CONTINUES. Month 30 is further out than month 25, so trust it less. Always say how far ahead you've projected.</t>
  </si>
  <si>
    <t>Task 2 - Fit a straight line</t>
  </si>
  <si>
    <t>How do Revenue and Members relate?</t>
  </si>
  <si>
    <t>Revenue clearly rises with Members. Fit a line: SLOPE, INTERCEPT and R-squared of Revenue (Riverside_Monthly!C5:C28) against Members (Riverside_Monthly!B5:B28). The order is (known_ys, known_xs) = (Revenue, Members). Round slope/intercept to 2 dp.</t>
  </si>
  <si>
    <t>Slope: extra revenue per +1 member</t>
  </si>
  <si>
    <t>e.g.  =ROUND(SLOPE(Riverside_Monthly!C5:C28,Riverside_Monthly!B5:B28),2)</t>
  </si>
  <si>
    <t>Explore: try =CORREL(C5:C28,B5:B28) — square it and compare with RSQ. Then chart it: scatter, Add Trendline, tick 'Display R-squared' — the chart should agree with your formulas.</t>
  </si>
  <si>
    <t>Intercept</t>
  </si>
  <si>
    <t>e.g.  =ROUND(INTERCEPT(Riverside_Monthly!C5:C28,Riverside_Monthly!B5:B28),2)</t>
  </si>
  <si>
    <t>R-squared (fit, 0 to 1)</t>
  </si>
  <si>
    <t>e.g.  =RSQ(Riverside_Monthly!C5:C28,Riverside_Monthly!B5:B28)</t>
  </si>
  <si>
    <t>Read it: the slope is about 34.33 - each extra member is worth roughly GBP34 of revenue (the club's effective average fee). R-squared is about 0.998 - very close to 1, so membership explains almost all the variation in revenue. A strong, trustworthy relationship.</t>
  </si>
  <si>
    <t>Task 3 - Use the line to predict</t>
  </si>
  <si>
    <t>Estimate revenue for a membership level</t>
  </si>
  <si>
    <t>Once you have the relationship, you can estimate revenue for any membership. FORECAST(target_members, Revenue, Members) reads the value off the fitted line. Round to whole pounds.</t>
  </si>
  <si>
    <t>Predicted revenue if the club reaches 300 members</t>
  </si>
  <si>
    <t>e.g.  =ROUND(FORECAST(300,Riverside_Monthly!C5:C28,Riverside_Monthly!B5:B28),0)</t>
  </si>
  <si>
    <t>Explore: rebuild the prediction by hand: =SLOPE(...)*300+INTERCEPT(...). Same number as FORECAST proves you understand what the line IS.</t>
  </si>
  <si>
    <t>💡  Because the fit is so strong (R-squared near 1), this estimate is reasonably trustworthy - but 300 is beyond the data we have (max 264 members), so it's still an extrapolation. Flag that when you report it.</t>
  </si>
  <si>
    <t>Support - forecasting &amp; regression</t>
  </si>
  <si>
    <t>Type = first, then the function.</t>
  </si>
  <si>
    <t>FORECAST</t>
  </si>
  <si>
    <t>FORECAST(x, known_ys, known_xs) - estimates y at a given x from the straight-line trend. (Newer Excel also has FORECAST.LINEAR - identical; FORECAST works everywhere.)</t>
  </si>
  <si>
    <t>TREND</t>
  </si>
  <si>
    <t>TREND(known_ys, known_xs, new_xs) - same idea, can do several future points at once.</t>
  </si>
  <si>
    <t>SLOPE</t>
  </si>
  <si>
    <t>SLOPE(known_ys, known_xs) - how much y changes for each +1 in x.</t>
  </si>
  <si>
    <t>INTERCEPT</t>
  </si>
  <si>
    <t>INTERCEPT(known_ys, known_xs) - the value of y where x = 0.</t>
  </si>
  <si>
    <t>RSQ (R-squared)</t>
  </si>
  <si>
    <t>RSQ(known_ys, known_xs) - how well the line fits, 0 to 1. Near 1 = strong; near 0 = weak.</t>
  </si>
  <si>
    <t>Order matters</t>
  </si>
  <si>
    <t>All of these take the Y (the thing you're explaining) FIRST, then the X. Revenue is Y, Members is X here.</t>
  </si>
  <si>
    <t>Make a trendline</t>
  </si>
  <si>
    <t>Select two columns &gt; Insert &gt; Scatter (or Line) chart &gt; click the line &gt; Add Trendline &gt; tick 'Display R-squared'.</t>
  </si>
  <si>
    <t>A forecast is an estimate</t>
  </si>
  <si>
    <t>State the fit (R-squared) and how far ahead you've projected. Don't present a forecast as certainty.</t>
  </si>
  <si>
    <t>Stretch - read the relationship critically</t>
  </si>
  <si>
    <t>What the numbers do and don't tell you</t>
  </si>
  <si>
    <t>Distinction-level forecasting is knowing the LIMITS of a model, not just running it.</t>
  </si>
  <si>
    <t>Reasoning prompts (write your own - no marking)</t>
  </si>
  <si>
    <t>R-squared is about 0.998. What does that high value mean - and why is it NOT proof that more members CAUSE more revenue?</t>
  </si>
  <si>
    <t>Your month-30 forecast assumes the trend continues. Name two real things that could break that assumption for a sports club.</t>
  </si>
  <si>
    <t>The slope is ~34. The club's fees are 20-55. Why might the slope sit in that range, and what would a slope of, say, 5 have told you?</t>
  </si>
  <si>
    <t>Predicting revenue at 300 members is an extrapolation (max in the data is 264). Why is extrapolating riskier than interpolating?</t>
  </si>
  <si>
    <t>Confidence &amp; Next Steps</t>
  </si>
  <si>
    <t>Your readiness gate for Module 11</t>
  </si>
  <si>
    <t>Mastery gate - ready for Module 11 when you can honestly tick all of these</t>
  </si>
  <si>
    <t>Type x in each yellow box you can tick.</t>
  </si>
  <si>
    <t>I forecast a future value with FORECAST</t>
  </si>
  <si>
    <t>I found SLOPE, INTERCEPT and R-squared of a relationship</t>
  </si>
  <si>
    <t>I can say in words what the slope and R-squared mean</t>
  </si>
  <si>
    <t>I used the line to predict revenue for a membership level</t>
  </si>
  <si>
    <t>I can explain why a forecast is an estimate, not a fact</t>
  </si>
  <si>
    <t>Re-rate your confidence (compare with your baseline)</t>
  </si>
  <si>
    <t>Seeing these rise from your Module 10 baseline is the goal.</t>
  </si>
  <si>
    <t>Now (1-5)</t>
  </si>
  <si>
    <t>Next up - Module 11: PivotTables. You'll reproduce the counts, totals and averages from Modules 7-9 in a few clicks, and cross-tabulate (e.g. membership type against tenure) - the fast way to summarise.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</si>
</sst>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18" x14ac:knownFonts="1">
    <font>
      <sz val="11"/>
      <color theme="1"/>
      <name val="Calibri"/>
      <charset val="1"/>
    </font>
    <font>
      <b/>
      <sz val="18"/>
      <color rgb="FFFFFFFF"/>
      <name val="Arial"/>
      <family val="2"/>
    </font>
    <font>
      <b/>
      <sz val="7"/>
      <color rgb="FF8C8C8C"/>
      <name val="Arial"/>
      <family val="2"/>
    </font>
    <font>
      <sz val="11"/>
      <color rgb="FFFFFFFF"/>
      <name val="Arial"/>
      <family val="2"/>
    </font>
    <font>
      <sz val="8"/>
      <color rgb="FF595959"/>
      <name val="Arial"/>
      <family val="2"/>
    </font>
    <font>
      <b/>
      <sz val="8"/>
      <color rgb="FFFFFFFF"/>
      <name val="Arial"/>
      <family val="2"/>
    </font>
    <font>
      <sz val="11"/>
      <color rgb="FF000000"/>
      <name val="Arial"/>
      <family val="2"/>
    </font>
    <font>
      <b/>
      <sz val="12"/>
      <color rgb="FF1F3B57"/>
      <name val="Arial"/>
      <family val="2"/>
    </font>
    <font>
      <b/>
      <sz val="11"/>
      <color rgb="FF1F3B57"/>
      <name val="Arial"/>
      <family val="2"/>
    </font>
    <font>
      <sz val="11"/>
      <color rgb="FF006100"/>
      <name val="Arial"/>
      <family val="2"/>
    </font>
    <font>
      <b/>
      <sz val="10.5"/>
      <color rgb="FFFFFFFF"/>
      <name val="Arial"/>
      <family val="2"/>
    </font>
    <font>
      <b/>
      <sz val="10"/>
      <color rgb="FF1F6B6B"/>
      <name val="Arial"/>
      <family val="2"/>
    </font>
    <font>
      <i/>
      <sz val="10"/>
      <color rgb="FF555555"/>
      <name val="Arial"/>
      <family val="2"/>
    </font>
    <font>
      <b/>
      <sz val="11"/>
      <name val="Arial"/>
      <family val="2"/>
    </font>
    <font>
      <i/>
      <sz val="9.5"/>
      <color rgb="FF3F6363"/>
      <name val="Arial"/>
      <family val="2"/>
    </font>
    <font>
      <sz val="11"/>
      <color rgb="FF2E8B8B"/>
      <name val="Arial"/>
      <family val="2"/>
    </font>
    <font>
      <b/>
      <sz val="11"/>
      <color rgb="FFFFFFFF"/>
      <name val="Arial"/>
      <family val="2"/>
    </font>
    <font>
      <sz val="10.5"/>
      <color rgb="FF5B4A1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B57"/>
        <bgColor rgb="FF003366"/>
      </patternFill>
    </fill>
    <fill>
      <patternFill patternType="solid">
        <fgColor rgb="FF2E8B8B"/>
        <bgColor rgb="FF2E75B6"/>
      </patternFill>
    </fill>
    <fill>
      <patternFill patternType="solid">
        <fgColor rgb="FFE2E6EA"/>
        <bgColor rgb="FFEDEDED"/>
      </patternFill>
    </fill>
    <fill>
      <patternFill patternType="solid">
        <fgColor rgb="FFEAF2F2"/>
        <bgColor rgb="FFEFF6F6"/>
      </patternFill>
    </fill>
    <fill>
      <patternFill patternType="solid">
        <fgColor rgb="FFC6EFCE"/>
        <bgColor rgb="FFE2E6EA"/>
      </patternFill>
    </fill>
    <fill>
      <patternFill patternType="solid">
        <fgColor rgb="FFFFF3C4"/>
        <bgColor rgb="FFFDF4E3"/>
      </patternFill>
    </fill>
    <fill>
      <patternFill patternType="solid">
        <fgColor rgb="FFEDEDED"/>
        <bgColor rgb="FFEAF2F2"/>
      </patternFill>
    </fill>
    <fill>
      <patternFill patternType="solid">
        <fgColor rgb="FFEFF6F6"/>
        <bgColor rgb="FFF2F7F7"/>
      </patternFill>
    </fill>
    <fill>
      <patternFill patternType="solid">
        <fgColor rgb="FFF2F7F7"/>
        <bgColor rgb="FFEFF6F6"/>
      </patternFill>
    </fill>
    <fill>
      <patternFill patternType="solid">
        <fgColor rgb="FFFFFFFF"/>
        <bgColor rgb="FFF2F7F7"/>
      </patternFill>
    </fill>
    <fill>
      <patternFill patternType="solid">
        <fgColor rgb="FFFDF4E3"/>
        <bgColor rgb="FFF5F5F5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2E8B8B"/>
      </bottom>
      <diagonal/>
    </border>
    <border>
      <left style="thick">
        <color rgb="FF2E8B8B"/>
      </left>
      <right/>
      <top/>
      <bottom/>
      <diagonal/>
    </border>
    <border>
      <left style="thick">
        <color rgb="FF2E8B8B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E8B8B"/>
      </left>
      <right style="hair">
        <color rgb="FF9DC3C3"/>
      </right>
      <top style="hair">
        <color rgb="FF9DC3C3"/>
      </top>
      <bottom style="hair">
        <color rgb="FF9DC3C3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ck">
        <color rgb="FFE8A33D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4" fillId="9" borderId="7" xfId="0" applyFont="1" applyFill="1" applyBorder="1" applyAlignment="1">
      <alignment vertical="top" wrapText="1"/>
    </xf>
    <xf numFmtId="0" fontId="12" fillId="0" borderId="5" xfId="0" applyFont="1" applyBorder="1" applyAlignment="1">
      <alignment vertical="top"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 indent="1"/>
    </xf>
    <xf numFmtId="0" fontId="6" fillId="0" borderId="5" xfId="0" applyFont="1" applyBorder="1" applyAlignment="1">
      <alignment vertical="top" wrapText="1"/>
    </xf>
    <xf numFmtId="0" fontId="10" fillId="2" borderId="0" xfId="0" applyFont="1" applyFill="1" applyAlignment="1">
      <alignment vertical="center" wrapText="1" indent="1"/>
    </xf>
    <xf numFmtId="0" fontId="9" fillId="6" borderId="4" xfId="0" applyFont="1" applyFill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6" fillId="5" borderId="3" xfId="0" applyFont="1" applyFill="1" applyBorder="1" applyAlignment="1">
      <alignment vertical="center" wrapText="1" indent="1"/>
    </xf>
    <xf numFmtId="0" fontId="7" fillId="5" borderId="2" xfId="0" applyFont="1" applyFill="1" applyBorder="1" applyAlignment="1">
      <alignment vertical="center" indent="1"/>
    </xf>
    <xf numFmtId="0" fontId="6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 wrapText="1"/>
    </xf>
    <xf numFmtId="0" fontId="8" fillId="0" borderId="0" xfId="0" applyFont="1"/>
    <xf numFmtId="0" fontId="6" fillId="8" borderId="6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3" fillId="0" borderId="6" xfId="0" applyFont="1" applyBorder="1" applyAlignment="1">
      <alignment horizontal="center" vertical="center"/>
    </xf>
    <xf numFmtId="0" fontId="14" fillId="9" borderId="7" xfId="0" applyFont="1" applyFill="1" applyBorder="1" applyAlignment="1">
      <alignment vertical="top" wrapText="1"/>
    </xf>
    <xf numFmtId="0" fontId="16" fillId="2" borderId="1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 vertical="center"/>
    </xf>
    <xf numFmtId="164" fontId="6" fillId="10" borderId="8" xfId="0" applyNumberFormat="1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 vertical="center"/>
    </xf>
    <xf numFmtId="164" fontId="6" fillId="11" borderId="8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15" fillId="0" borderId="0" xfId="0" applyFont="1" applyAlignment="1">
      <alignment vertical="top" wrapText="1"/>
    </xf>
    <xf numFmtId="0" fontId="17" fillId="12" borderId="9" xfId="0" applyFont="1" applyFill="1" applyBorder="1" applyAlignment="1">
      <alignment vertical="top" wrapText="1"/>
    </xf>
    <xf numFmtId="0" fontId="0" fillId="7" borderId="5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7" borderId="5" xfId="0" applyFill="1" applyBorder="1" applyAlignment="1" applyProtection="1">
      <alignment vertical="top" wrapText="1"/>
      <protection locked="0"/>
    </xf>
  </cellXfs>
  <cellStyles count="1">
    <cellStyle name="Normal" xfId="0" builtinId="0"/>
  </cellStyles>
  <dxfs count="8"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5F5F5"/>
      <rgbColor rgb="FFFF00FF"/>
      <rgbColor rgb="FF00FFFF"/>
      <rgbColor rgb="FF9C0006"/>
      <rgbColor rgb="FF006100"/>
      <rgbColor rgb="FF000080"/>
      <rgbColor rgb="FF548235"/>
      <rgbColor rgb="FF800080"/>
      <rgbColor rgb="FF1F6B6B"/>
      <rgbColor rgb="FFBFBFBF"/>
      <rgbColor rgb="FF7F7F7F"/>
      <rgbColor rgb="FF7F8C99"/>
      <rgbColor rgb="FF7030A0"/>
      <rgbColor rgb="FFFFF3C4"/>
      <rgbColor rgb="FFEAF2F2"/>
      <rgbColor rgb="FF660066"/>
      <rgbColor rgb="FFFF8080"/>
      <rgbColor rgb="FF0066CC"/>
      <rgbColor rgb="FFD9D9D9"/>
      <rgbColor rgb="FF000080"/>
      <rgbColor rgb="FFFF00FF"/>
      <rgbColor rgb="FFF2F7F7"/>
      <rgbColor rgb="FF00FFFF"/>
      <rgbColor rgb="FF800080"/>
      <rgbColor rgb="FF800000"/>
      <rgbColor rgb="FF3F6363"/>
      <rgbColor rgb="FF0000FF"/>
      <rgbColor rgb="FF00CCFF"/>
      <rgbColor rgb="FFEFF6F6"/>
      <rgbColor rgb="FFC6EFCE"/>
      <rgbColor rgb="FFFDF4E3"/>
      <rgbColor rgb="FF9DC3C3"/>
      <rgbColor rgb="FFEDEDED"/>
      <rgbColor rgb="FFE2E6EA"/>
      <rgbColor rgb="FFFFC7CE"/>
      <rgbColor rgb="FF2E75B6"/>
      <rgbColor rgb="FF33CCCC"/>
      <rgbColor rgb="FF99CC00"/>
      <rgbColor rgb="FFFFCC00"/>
      <rgbColor rgb="FFE8A33D"/>
      <rgbColor rgb="FFBF8F00"/>
      <rgbColor rgb="FF595959"/>
      <rgbColor rgb="FF8C8C8C"/>
      <rgbColor rgb="FF003366"/>
      <rgbColor rgb="FF2E8B8B"/>
      <rgbColor rgb="FF003300"/>
      <rgbColor rgb="FF5B4A1F"/>
      <rgbColor rgb="FF993300"/>
      <rgbColor rgb="FF993366"/>
      <rgbColor rgb="FF555555"/>
      <rgbColor rgb="FF1F3B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10"/>
            <c:dispRSqr val="0"/>
            <c:dispEq val="0"/>
          </c:trendline>
          <c:xVal>
            <c:numRef>
              <c:f>Riverside_Monthly!$A$5:$A$28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Riverside_Monthly!$B$5:$B$28</c:f>
              <c:numCache>
                <c:formatCode>General</c:formatCode>
                <c:ptCount val="24"/>
                <c:pt idx="0">
                  <c:v>128</c:v>
                </c:pt>
                <c:pt idx="1">
                  <c:v>130</c:v>
                </c:pt>
                <c:pt idx="2">
                  <c:v>141</c:v>
                </c:pt>
                <c:pt idx="3">
                  <c:v>150</c:v>
                </c:pt>
                <c:pt idx="4">
                  <c:v>150</c:v>
                </c:pt>
                <c:pt idx="5">
                  <c:v>154</c:v>
                </c:pt>
                <c:pt idx="6">
                  <c:v>158</c:v>
                </c:pt>
                <c:pt idx="7">
                  <c:v>171</c:v>
                </c:pt>
                <c:pt idx="8">
                  <c:v>172</c:v>
                </c:pt>
                <c:pt idx="9">
                  <c:v>186</c:v>
                </c:pt>
                <c:pt idx="10">
                  <c:v>192</c:v>
                </c:pt>
                <c:pt idx="11">
                  <c:v>192</c:v>
                </c:pt>
                <c:pt idx="12">
                  <c:v>206</c:v>
                </c:pt>
                <c:pt idx="13">
                  <c:v>202</c:v>
                </c:pt>
                <c:pt idx="14">
                  <c:v>217</c:v>
                </c:pt>
                <c:pt idx="15">
                  <c:v>223</c:v>
                </c:pt>
                <c:pt idx="16">
                  <c:v>226</c:v>
                </c:pt>
                <c:pt idx="17">
                  <c:v>230</c:v>
                </c:pt>
                <c:pt idx="18">
                  <c:v>242</c:v>
                </c:pt>
                <c:pt idx="19">
                  <c:v>248</c:v>
                </c:pt>
                <c:pt idx="20">
                  <c:v>253</c:v>
                </c:pt>
                <c:pt idx="21">
                  <c:v>253</c:v>
                </c:pt>
                <c:pt idx="22">
                  <c:v>258</c:v>
                </c:pt>
                <c:pt idx="23">
                  <c:v>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76-48A6-927C-A56F68E181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80720"/>
        <c:axId val="213075920"/>
      </c:scatterChart>
      <c:valAx>
        <c:axId val="21308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5920"/>
        <c:crosses val="autoZero"/>
        <c:crossBetween val="midCat"/>
      </c:valAx>
      <c:valAx>
        <c:axId val="2130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283523029726793E-2"/>
          <c:y val="3.0942334739803096E-2"/>
          <c:w val="0.93108380795894063"/>
          <c:h val="0.903802341163050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817106829993262E-2"/>
                  <c:y val="0.187788963088474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600" baseline="0"/>
                      <a:t>y = 6.153x + 120.84</a:t>
                    </a:r>
                    <a:br>
                      <a:rPr lang="en-US" sz="1600" baseline="0"/>
                    </a:br>
                    <a:r>
                      <a:rPr lang="en-US" sz="1600" baseline="0"/>
                      <a:t>R² = 0.9928</a:t>
                    </a:r>
                    <a:endParaRPr lang="en-US" sz="16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Riverside_Monthly!$A$5:$A$28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Riverside_Monthly!$B$5:$B$28</c:f>
              <c:numCache>
                <c:formatCode>General</c:formatCode>
                <c:ptCount val="24"/>
                <c:pt idx="0">
                  <c:v>128</c:v>
                </c:pt>
                <c:pt idx="1">
                  <c:v>130</c:v>
                </c:pt>
                <c:pt idx="2">
                  <c:v>141</c:v>
                </c:pt>
                <c:pt idx="3">
                  <c:v>150</c:v>
                </c:pt>
                <c:pt idx="4">
                  <c:v>150</c:v>
                </c:pt>
                <c:pt idx="5">
                  <c:v>154</c:v>
                </c:pt>
                <c:pt idx="6">
                  <c:v>158</c:v>
                </c:pt>
                <c:pt idx="7">
                  <c:v>171</c:v>
                </c:pt>
                <c:pt idx="8">
                  <c:v>172</c:v>
                </c:pt>
                <c:pt idx="9">
                  <c:v>186</c:v>
                </c:pt>
                <c:pt idx="10">
                  <c:v>192</c:v>
                </c:pt>
                <c:pt idx="11">
                  <c:v>192</c:v>
                </c:pt>
                <c:pt idx="12">
                  <c:v>206</c:v>
                </c:pt>
                <c:pt idx="13">
                  <c:v>202</c:v>
                </c:pt>
                <c:pt idx="14">
                  <c:v>217</c:v>
                </c:pt>
                <c:pt idx="15">
                  <c:v>223</c:v>
                </c:pt>
                <c:pt idx="16">
                  <c:v>226</c:v>
                </c:pt>
                <c:pt idx="17">
                  <c:v>230</c:v>
                </c:pt>
                <c:pt idx="18">
                  <c:v>242</c:v>
                </c:pt>
                <c:pt idx="19">
                  <c:v>248</c:v>
                </c:pt>
                <c:pt idx="20">
                  <c:v>253</c:v>
                </c:pt>
                <c:pt idx="21">
                  <c:v>253</c:v>
                </c:pt>
                <c:pt idx="22">
                  <c:v>258</c:v>
                </c:pt>
                <c:pt idx="23">
                  <c:v>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0D-459E-BD73-B1BFC33EE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080720"/>
        <c:axId val="213075920"/>
      </c:scatterChart>
      <c:valAx>
        <c:axId val="21308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5920"/>
        <c:crosses val="autoZero"/>
        <c:crossBetween val="midCat"/>
      </c:valAx>
      <c:valAx>
        <c:axId val="2130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8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10</xdr:row>
      <xdr:rowOff>133350</xdr:rowOff>
    </xdr:from>
    <xdr:to>
      <xdr:col>7</xdr:col>
      <xdr:colOff>9525</xdr:colOff>
      <xdr:row>32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C07FDF-EDA4-439A-BF36-9D91017F08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28574</xdr:colOff>
      <xdr:row>13</xdr:row>
      <xdr:rowOff>133350</xdr:rowOff>
    </xdr:from>
    <xdr:to>
      <xdr:col>7</xdr:col>
      <xdr:colOff>19049</xdr:colOff>
      <xdr:row>36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8212A8-7A1C-426C-885C-BC6B5E896C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B57"/>
  </sheetPr>
  <dimension ref="A1:V1000"/>
  <sheetViews>
    <sheetView showGridLines="0" zoomScaleNormal="100" workbookViewId="0">
      <selection activeCell="G25" sqref="G25:H25"/>
    </sheetView>
  </sheetViews>
  <sheetFormatPr defaultColWidth="14.42578125" defaultRowHeight="15" x14ac:dyDescent="0.25"/>
  <cols>
    <col min="1" max="1" width="3" customWidth="1"/>
    <col min="2" max="2" width="24" customWidth="1"/>
    <col min="3" max="5" width="14" customWidth="1"/>
    <col min="6" max="6" width="16" customWidth="1"/>
    <col min="7" max="7" width="14" customWidth="1"/>
    <col min="8" max="8" width="35.140625" customWidth="1"/>
    <col min="10" max="22" width="3.42578125" customWidth="1"/>
  </cols>
  <sheetData>
    <row r="1" spans="1:22" ht="30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J1" s="14" t="s">
        <v>1</v>
      </c>
    </row>
    <row r="2" spans="1:22" ht="21.75" customHeight="1" x14ac:dyDescent="0.25">
      <c r="A2" s="12" t="s">
        <v>2</v>
      </c>
      <c r="B2" s="12"/>
      <c r="C2" s="12"/>
      <c r="D2" s="12"/>
      <c r="E2" s="12"/>
      <c r="F2" s="12"/>
      <c r="G2" s="12"/>
      <c r="H2" s="12"/>
      <c r="J2" s="15">
        <v>1</v>
      </c>
      <c r="K2" s="15">
        <v>2</v>
      </c>
      <c r="L2" s="15">
        <v>3</v>
      </c>
      <c r="M2" s="15">
        <v>4</v>
      </c>
      <c r="N2" s="15">
        <v>5</v>
      </c>
      <c r="O2" s="15">
        <v>6</v>
      </c>
      <c r="P2" s="15">
        <v>7</v>
      </c>
      <c r="Q2" s="15">
        <v>8</v>
      </c>
      <c r="R2" s="15">
        <v>9</v>
      </c>
      <c r="S2" s="16">
        <v>10</v>
      </c>
      <c r="T2" s="15">
        <v>11</v>
      </c>
      <c r="U2" s="15">
        <v>12</v>
      </c>
      <c r="V2" s="15">
        <v>13</v>
      </c>
    </row>
    <row r="3" spans="1:22" ht="15" customHeight="1" x14ac:dyDescent="0.25"/>
    <row r="4" spans="1:22" ht="57.75" customHeight="1" x14ac:dyDescent="0.25">
      <c r="A4" s="11" t="s">
        <v>3</v>
      </c>
      <c r="B4" s="11"/>
      <c r="C4" s="11"/>
      <c r="D4" s="11"/>
      <c r="E4" s="11"/>
      <c r="F4" s="11"/>
      <c r="G4" s="11"/>
      <c r="H4" s="11"/>
    </row>
    <row r="5" spans="1:22" ht="15" customHeight="1" x14ac:dyDescent="0.25"/>
    <row r="6" spans="1:22" ht="24" customHeight="1" x14ac:dyDescent="0.25">
      <c r="A6" s="10" t="s">
        <v>4</v>
      </c>
      <c r="B6" s="10"/>
      <c r="C6" s="10"/>
      <c r="D6" s="10"/>
      <c r="E6" s="10"/>
      <c r="F6" s="10"/>
      <c r="G6" s="10"/>
      <c r="H6" s="10"/>
    </row>
    <row r="7" spans="1:22" ht="19.5" customHeight="1" x14ac:dyDescent="0.25">
      <c r="B7" s="9" t="s">
        <v>5</v>
      </c>
      <c r="C7" s="9"/>
      <c r="D7" s="9"/>
      <c r="E7" s="9"/>
      <c r="F7" s="9"/>
      <c r="G7" s="9"/>
      <c r="H7" s="9"/>
    </row>
    <row r="8" spans="1:22" ht="15" customHeight="1" x14ac:dyDescent="0.25">
      <c r="B8" s="9"/>
      <c r="C8" s="9"/>
      <c r="D8" s="9"/>
      <c r="E8" s="9"/>
      <c r="F8" s="9"/>
      <c r="G8" s="9"/>
      <c r="H8" s="9"/>
    </row>
    <row r="9" spans="1:22" ht="19.5" customHeight="1" x14ac:dyDescent="0.25">
      <c r="B9" s="9" t="s">
        <v>6</v>
      </c>
      <c r="C9" s="9"/>
      <c r="D9" s="9"/>
      <c r="E9" s="9"/>
      <c r="F9" s="9"/>
      <c r="G9" s="9"/>
      <c r="H9" s="9"/>
    </row>
    <row r="10" spans="1:22" ht="15" customHeight="1" x14ac:dyDescent="0.25">
      <c r="B10" s="9"/>
      <c r="C10" s="9"/>
      <c r="D10" s="9"/>
      <c r="E10" s="9"/>
      <c r="F10" s="9"/>
      <c r="G10" s="9"/>
      <c r="H10" s="9"/>
    </row>
    <row r="11" spans="1:22" ht="18" customHeight="1" x14ac:dyDescent="0.25">
      <c r="A11" s="8" t="s">
        <v>7</v>
      </c>
      <c r="B11" s="8"/>
      <c r="C11" s="8"/>
      <c r="D11" s="8"/>
      <c r="E11" s="8"/>
      <c r="F11" s="8"/>
      <c r="G11" s="8"/>
      <c r="H11" s="8"/>
    </row>
    <row r="12" spans="1:22" ht="15" customHeight="1" x14ac:dyDescent="0.25"/>
    <row r="13" spans="1:22" ht="24" customHeight="1" x14ac:dyDescent="0.25">
      <c r="A13" s="10" t="s">
        <v>8</v>
      </c>
      <c r="B13" s="10"/>
      <c r="C13" s="10"/>
      <c r="D13" s="10"/>
      <c r="E13" s="10"/>
      <c r="F13" s="10"/>
      <c r="G13" s="10"/>
      <c r="H13" s="10"/>
    </row>
    <row r="14" spans="1:22" ht="15.75" customHeight="1" x14ac:dyDescent="0.25">
      <c r="A14" s="11" t="s">
        <v>9</v>
      </c>
      <c r="B14" s="11"/>
      <c r="C14" s="11"/>
      <c r="D14" s="11"/>
      <c r="E14" s="11"/>
      <c r="F14" s="11"/>
      <c r="G14" s="11"/>
      <c r="H14" s="11"/>
    </row>
    <row r="15" spans="1:22" ht="15.75" customHeight="1" x14ac:dyDescent="0.25">
      <c r="A15" s="11" t="s">
        <v>10</v>
      </c>
      <c r="B15" s="11"/>
      <c r="C15" s="11"/>
      <c r="D15" s="11"/>
      <c r="E15" s="11"/>
      <c r="F15" s="11"/>
      <c r="G15" s="11"/>
      <c r="H15" s="11"/>
    </row>
    <row r="16" spans="1:22" ht="15.75" customHeight="1" x14ac:dyDescent="0.25">
      <c r="A16" s="11" t="s">
        <v>11</v>
      </c>
      <c r="B16" s="11"/>
      <c r="C16" s="11"/>
      <c r="D16" s="11"/>
      <c r="E16" s="11"/>
      <c r="F16" s="11"/>
      <c r="G16" s="11"/>
      <c r="H16" s="11"/>
    </row>
    <row r="17" spans="1:8" ht="15" customHeight="1" x14ac:dyDescent="0.25"/>
    <row r="18" spans="1:8" ht="24" customHeight="1" x14ac:dyDescent="0.25">
      <c r="A18" s="10" t="s">
        <v>12</v>
      </c>
      <c r="B18" s="10"/>
      <c r="C18" s="10"/>
      <c r="D18" s="10"/>
      <c r="E18" s="10"/>
      <c r="F18" s="10"/>
      <c r="G18" s="10"/>
      <c r="H18" s="10"/>
    </row>
    <row r="19" spans="1:8" ht="15" customHeight="1" x14ac:dyDescent="0.25">
      <c r="B19" s="7" t="s">
        <v>13</v>
      </c>
      <c r="C19" s="7"/>
      <c r="D19" s="7"/>
      <c r="E19" s="7"/>
      <c r="F19" s="7"/>
      <c r="G19" s="7"/>
      <c r="H19" s="7"/>
    </row>
    <row r="20" spans="1:8" ht="15" customHeight="1" x14ac:dyDescent="0.25">
      <c r="B20" s="7"/>
      <c r="C20" s="7"/>
      <c r="D20" s="7"/>
      <c r="E20" s="7"/>
      <c r="F20" s="7"/>
      <c r="G20" s="7"/>
      <c r="H20" s="7"/>
    </row>
    <row r="21" spans="1:8" ht="15.75" customHeight="1" x14ac:dyDescent="0.25">
      <c r="B21" s="7"/>
      <c r="C21" s="7"/>
      <c r="D21" s="7"/>
      <c r="E21" s="7"/>
      <c r="F21" s="7"/>
      <c r="G21" s="7"/>
      <c r="H21" s="7"/>
    </row>
    <row r="22" spans="1:8" ht="15.75" customHeight="1" x14ac:dyDescent="0.25"/>
    <row r="23" spans="1:8" ht="24" customHeight="1" x14ac:dyDescent="0.25">
      <c r="A23" s="10" t="s">
        <v>14</v>
      </c>
      <c r="B23" s="10"/>
      <c r="C23" s="10"/>
      <c r="D23" s="10"/>
      <c r="E23" s="10"/>
      <c r="F23" s="10"/>
      <c r="G23" s="10"/>
      <c r="H23" s="10"/>
    </row>
    <row r="24" spans="1:8" ht="18" customHeight="1" x14ac:dyDescent="0.25">
      <c r="B24" s="6" t="s">
        <v>15</v>
      </c>
      <c r="C24" s="6"/>
      <c r="D24" s="6"/>
      <c r="E24" s="6"/>
      <c r="F24" s="6"/>
      <c r="G24" s="17" t="s">
        <v>16</v>
      </c>
    </row>
    <row r="25" spans="1:8" ht="15" customHeight="1" x14ac:dyDescent="0.25">
      <c r="B25" s="5" t="s">
        <v>17</v>
      </c>
      <c r="C25" s="5"/>
      <c r="D25" s="5"/>
      <c r="E25" s="5"/>
      <c r="F25" s="5"/>
      <c r="G25" s="35"/>
      <c r="H25" s="35"/>
    </row>
    <row r="26" spans="1:8" ht="15" customHeight="1" x14ac:dyDescent="0.25">
      <c r="B26" s="5" t="s">
        <v>18</v>
      </c>
      <c r="C26" s="5"/>
      <c r="D26" s="5"/>
      <c r="E26" s="5"/>
      <c r="F26" s="5"/>
      <c r="G26" s="35"/>
      <c r="H26" s="35"/>
    </row>
    <row r="27" spans="1:8" ht="15" customHeight="1" x14ac:dyDescent="0.25">
      <c r="B27" s="5" t="s">
        <v>19</v>
      </c>
      <c r="C27" s="5"/>
      <c r="D27" s="5"/>
      <c r="E27" s="5"/>
      <c r="F27" s="5"/>
      <c r="G27" s="35"/>
      <c r="H27" s="35"/>
    </row>
    <row r="28" spans="1:8" ht="15" customHeight="1" x14ac:dyDescent="0.25">
      <c r="B28" s="5" t="s">
        <v>20</v>
      </c>
      <c r="C28" s="5"/>
      <c r="D28" s="5"/>
      <c r="E28" s="5"/>
      <c r="F28" s="5"/>
      <c r="G28" s="35"/>
      <c r="H28" s="35"/>
    </row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23">
    <mergeCell ref="B28:F28"/>
    <mergeCell ref="G28:H28"/>
    <mergeCell ref="B25:F25"/>
    <mergeCell ref="G25:H25"/>
    <mergeCell ref="B26:F26"/>
    <mergeCell ref="G26:H26"/>
    <mergeCell ref="B27:F27"/>
    <mergeCell ref="G27:H27"/>
    <mergeCell ref="A16:H16"/>
    <mergeCell ref="A18:H18"/>
    <mergeCell ref="B19:H21"/>
    <mergeCell ref="A23:H23"/>
    <mergeCell ref="B24:F24"/>
    <mergeCell ref="B9:H10"/>
    <mergeCell ref="A11:H11"/>
    <mergeCell ref="A13:H13"/>
    <mergeCell ref="A14:H14"/>
    <mergeCell ref="A15:H15"/>
    <mergeCell ref="A1:H1"/>
    <mergeCell ref="A2:H2"/>
    <mergeCell ref="A4:H4"/>
    <mergeCell ref="A6:H6"/>
    <mergeCell ref="B7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B8B"/>
  </sheetPr>
  <dimension ref="A1:J1000"/>
  <sheetViews>
    <sheetView showGridLines="0" zoomScaleNormal="100" workbookViewId="0">
      <selection activeCell="F14" sqref="F14"/>
    </sheetView>
  </sheetViews>
  <sheetFormatPr defaultColWidth="14.42578125" defaultRowHeight="15" x14ac:dyDescent="0.25"/>
  <cols>
    <col min="1" max="1" width="3" customWidth="1"/>
    <col min="2" max="2" width="32" customWidth="1"/>
    <col min="3" max="3" width="14" customWidth="1"/>
    <col min="4" max="4" width="30" customWidth="1"/>
    <col min="5" max="5" width="12" customWidth="1"/>
    <col min="6" max="6" width="16" customWidth="1"/>
    <col min="7" max="7" width="14" customWidth="1"/>
    <col min="8" max="8" width="10" customWidth="1"/>
    <col min="9" max="9" width="1.5703125" customWidth="1"/>
    <col min="10" max="10" width="52" customWidth="1"/>
  </cols>
  <sheetData>
    <row r="1" spans="1:10" ht="30" customHeight="1" x14ac:dyDescent="0.25">
      <c r="A1" s="13" t="s">
        <v>21</v>
      </c>
      <c r="B1" s="13"/>
      <c r="C1" s="13"/>
      <c r="D1" s="13"/>
      <c r="E1" s="13"/>
      <c r="F1" s="13"/>
      <c r="G1" s="13"/>
      <c r="H1" s="13"/>
    </row>
    <row r="2" spans="1:10" ht="21.75" customHeight="1" x14ac:dyDescent="0.25">
      <c r="A2" s="12" t="s">
        <v>22</v>
      </c>
      <c r="B2" s="12"/>
      <c r="C2" s="12"/>
      <c r="D2" s="12"/>
      <c r="E2" s="12"/>
      <c r="F2" s="12"/>
      <c r="G2" s="12"/>
      <c r="H2" s="12"/>
    </row>
    <row r="3" spans="1:10" ht="15" customHeight="1" x14ac:dyDescent="0.25"/>
    <row r="4" spans="1:10" ht="33.75" customHeight="1" x14ac:dyDescent="0.25">
      <c r="A4" s="11" t="s">
        <v>23</v>
      </c>
      <c r="B4" s="11"/>
      <c r="C4" s="11"/>
      <c r="D4" s="11"/>
      <c r="E4" s="11"/>
      <c r="F4" s="11"/>
      <c r="G4" s="11"/>
      <c r="H4" s="11"/>
    </row>
    <row r="5" spans="1:10" ht="15" customHeight="1" x14ac:dyDescent="0.25"/>
    <row r="6" spans="1:10" ht="15" customHeight="1" x14ac:dyDescent="0.25">
      <c r="B6" s="18" t="s">
        <v>24</v>
      </c>
      <c r="C6" s="18" t="s">
        <v>25</v>
      </c>
    </row>
    <row r="7" spans="1:10" ht="15" customHeight="1" x14ac:dyDescent="0.25">
      <c r="B7" s="19">
        <v>1</v>
      </c>
      <c r="C7" s="19">
        <v>10</v>
      </c>
    </row>
    <row r="8" spans="1:10" ht="15" customHeight="1" x14ac:dyDescent="0.25">
      <c r="B8" s="19">
        <v>2</v>
      </c>
      <c r="C8" s="19">
        <v>20</v>
      </c>
    </row>
    <row r="9" spans="1:10" ht="15" customHeight="1" x14ac:dyDescent="0.25">
      <c r="B9" s="19">
        <v>3</v>
      </c>
      <c r="C9" s="19">
        <v>30</v>
      </c>
    </row>
    <row r="10" spans="1:10" ht="15" customHeight="1" x14ac:dyDescent="0.25">
      <c r="B10" s="19">
        <v>4</v>
      </c>
      <c r="C10" s="19">
        <v>40</v>
      </c>
    </row>
    <row r="11" spans="1:10" ht="15" customHeight="1" x14ac:dyDescent="0.25">
      <c r="B11" s="19">
        <v>5</v>
      </c>
      <c r="C11" s="19">
        <v>50</v>
      </c>
    </row>
    <row r="12" spans="1:10" ht="15" customHeight="1" x14ac:dyDescent="0.25"/>
    <row r="13" spans="1:10" ht="18" customHeight="1" x14ac:dyDescent="0.25">
      <c r="B13" s="4" t="s">
        <v>26</v>
      </c>
      <c r="C13" s="4"/>
      <c r="D13" s="3" t="s">
        <v>27</v>
      </c>
      <c r="E13" s="3"/>
      <c r="F13" s="20" t="s">
        <v>28</v>
      </c>
      <c r="G13" s="20" t="s">
        <v>29</v>
      </c>
      <c r="J13" s="21" t="s">
        <v>30</v>
      </c>
    </row>
    <row r="14" spans="1:10" ht="30" customHeight="1" x14ac:dyDescent="0.25">
      <c r="B14" s="5" t="s">
        <v>31</v>
      </c>
      <c r="C14" s="5"/>
      <c r="D14" s="2" t="s">
        <v>32</v>
      </c>
      <c r="E14" s="2"/>
      <c r="F14" s="36"/>
      <c r="G14" s="22" t="str">
        <f>IF(F14="","",IFERROR(IF(ABS(F14-(10))&lt;0.01,"✓  Correct","✗  Try again"),"✗  Try again"))</f>
        <v/>
      </c>
      <c r="J14" s="1" t="s">
        <v>33</v>
      </c>
    </row>
    <row r="15" spans="1:10" ht="30" customHeight="1" x14ac:dyDescent="0.25">
      <c r="B15" s="5" t="s">
        <v>34</v>
      </c>
      <c r="C15" s="5"/>
      <c r="D15" s="2" t="s">
        <v>35</v>
      </c>
      <c r="E15" s="2"/>
      <c r="F15" s="36"/>
      <c r="G15" s="22" t="str">
        <f>IF(F15="","",IFERROR(IF(ABS(F15-(0))&lt;0.01,"✓  Correct","✗  Try again"),"✗  Try again"))</f>
        <v/>
      </c>
      <c r="J15" s="1"/>
    </row>
    <row r="16" spans="1:10" ht="30" customHeight="1" x14ac:dyDescent="0.25">
      <c r="B16" s="5" t="s">
        <v>36</v>
      </c>
      <c r="C16" s="5"/>
      <c r="D16" s="2" t="s">
        <v>37</v>
      </c>
      <c r="E16" s="2"/>
      <c r="F16" s="36"/>
      <c r="G16" s="22" t="str">
        <f>IF(F16="","",IFERROR(IF(ABS(F16-(1))&lt;0.01,"✓  Correct","✗  Try again"),"✗  Try again"))</f>
        <v/>
      </c>
      <c r="J16" s="1"/>
    </row>
    <row r="17" spans="1:10" ht="30" customHeight="1" x14ac:dyDescent="0.25">
      <c r="B17" s="5" t="s">
        <v>38</v>
      </c>
      <c r="C17" s="5"/>
      <c r="D17" s="2" t="s">
        <v>39</v>
      </c>
      <c r="E17" s="2"/>
      <c r="F17" s="36"/>
      <c r="G17" s="22" t="str">
        <f>IF(F17="","",IFERROR(IF(ABS(F17-(60))&lt;0.01,"✓  Correct","✗  Try again"),"✗  Try again"))</f>
        <v/>
      </c>
      <c r="J17" s="1"/>
    </row>
    <row r="18" spans="1:10" ht="15" customHeight="1" x14ac:dyDescent="0.25"/>
    <row r="19" spans="1:10" ht="30" customHeight="1" x14ac:dyDescent="0.25">
      <c r="A19" s="33" t="s">
        <v>40</v>
      </c>
      <c r="B19" s="33"/>
      <c r="C19" s="33"/>
      <c r="D19" s="33"/>
      <c r="E19" s="33"/>
      <c r="F19" s="33"/>
      <c r="G19" s="33"/>
      <c r="H19" s="33"/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15">
    <mergeCell ref="A19:H19"/>
    <mergeCell ref="B14:C14"/>
    <mergeCell ref="D14:E14"/>
    <mergeCell ref="J14:J17"/>
    <mergeCell ref="B15:C15"/>
    <mergeCell ref="D15:E15"/>
    <mergeCell ref="B16:C16"/>
    <mergeCell ref="D16:E16"/>
    <mergeCell ref="B17:C17"/>
    <mergeCell ref="D17:E17"/>
    <mergeCell ref="A1:H1"/>
    <mergeCell ref="A2:H2"/>
    <mergeCell ref="A4:H4"/>
    <mergeCell ref="B13:C13"/>
    <mergeCell ref="D13:E13"/>
  </mergeCells>
  <conditionalFormatting sqref="G14:G17">
    <cfRule type="expression" dxfId="7" priority="2">
      <formula>ISNUMBER(SEARCH("Correct",G14))</formula>
    </cfRule>
    <cfRule type="expression" dxfId="6" priority="3">
      <formula>ISNUMBER(SEARCH("Try",G14))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8C99"/>
  </sheetPr>
  <dimension ref="A1:C1000"/>
  <sheetViews>
    <sheetView showGridLines="0" zoomScaleNormal="100" workbookViewId="0">
      <pane ySplit="4" topLeftCell="A5" activePane="bottomLeft" state="frozen"/>
      <selection pane="bottomLeft" activeCell="B28" sqref="B28"/>
    </sheetView>
  </sheetViews>
  <sheetFormatPr defaultColWidth="14.42578125" defaultRowHeight="15" x14ac:dyDescent="0.25"/>
  <cols>
    <col min="1" max="1" width="38.85546875" customWidth="1"/>
    <col min="2" max="2" width="36.7109375" customWidth="1"/>
    <col min="3" max="3" width="58.28515625" customWidth="1"/>
    <col min="4" max="12" width="8.7109375" customWidth="1"/>
  </cols>
  <sheetData>
    <row r="1" spans="1:3" ht="30" customHeight="1" x14ac:dyDescent="0.25">
      <c r="A1" s="13" t="s">
        <v>41</v>
      </c>
      <c r="B1" s="13"/>
      <c r="C1" s="13"/>
    </row>
    <row r="2" spans="1:3" ht="21.75" customHeight="1" x14ac:dyDescent="0.25">
      <c r="A2" s="12" t="s">
        <v>42</v>
      </c>
      <c r="B2" s="12"/>
      <c r="C2" s="12"/>
    </row>
    <row r="3" spans="1:3" ht="15" customHeight="1" x14ac:dyDescent="0.25"/>
    <row r="4" spans="1:3" ht="19.5" customHeight="1" x14ac:dyDescent="0.25">
      <c r="A4" s="24" t="s">
        <v>43</v>
      </c>
      <c r="B4" s="24" t="s">
        <v>44</v>
      </c>
      <c r="C4" s="24" t="s">
        <v>45</v>
      </c>
    </row>
    <row r="5" spans="1:3" ht="15" customHeight="1" x14ac:dyDescent="0.25">
      <c r="A5" s="25">
        <v>1</v>
      </c>
      <c r="B5" s="26">
        <v>128</v>
      </c>
      <c r="C5" s="27">
        <v>4238</v>
      </c>
    </row>
    <row r="6" spans="1:3" ht="15" customHeight="1" x14ac:dyDescent="0.25">
      <c r="A6" s="28">
        <v>2</v>
      </c>
      <c r="B6" s="29">
        <v>130</v>
      </c>
      <c r="C6" s="30">
        <v>4354</v>
      </c>
    </row>
    <row r="7" spans="1:3" ht="15" customHeight="1" x14ac:dyDescent="0.25">
      <c r="A7" s="25">
        <v>3</v>
      </c>
      <c r="B7" s="26">
        <v>141</v>
      </c>
      <c r="C7" s="27">
        <v>4836</v>
      </c>
    </row>
    <row r="8" spans="1:3" ht="15" customHeight="1" x14ac:dyDescent="0.25">
      <c r="A8" s="28">
        <v>4</v>
      </c>
      <c r="B8" s="29">
        <v>150</v>
      </c>
      <c r="C8" s="30">
        <v>5001</v>
      </c>
    </row>
    <row r="9" spans="1:3" ht="15" customHeight="1" x14ac:dyDescent="0.25">
      <c r="A9" s="25">
        <v>5</v>
      </c>
      <c r="B9" s="26">
        <v>150</v>
      </c>
      <c r="C9" s="27">
        <v>4987</v>
      </c>
    </row>
    <row r="10" spans="1:3" ht="15" customHeight="1" x14ac:dyDescent="0.25">
      <c r="A10" s="28">
        <v>6</v>
      </c>
      <c r="B10" s="29">
        <v>154</v>
      </c>
      <c r="C10" s="30">
        <v>5237</v>
      </c>
    </row>
    <row r="11" spans="1:3" ht="15" customHeight="1" x14ac:dyDescent="0.25">
      <c r="A11" s="25">
        <v>7</v>
      </c>
      <c r="B11" s="26">
        <v>158</v>
      </c>
      <c r="C11" s="27">
        <v>5300</v>
      </c>
    </row>
    <row r="12" spans="1:3" ht="15" customHeight="1" x14ac:dyDescent="0.25">
      <c r="A12" s="28">
        <v>8</v>
      </c>
      <c r="B12" s="29">
        <v>171</v>
      </c>
      <c r="C12" s="30">
        <v>5825</v>
      </c>
    </row>
    <row r="13" spans="1:3" ht="15" customHeight="1" x14ac:dyDescent="0.25">
      <c r="A13" s="25">
        <v>9</v>
      </c>
      <c r="B13" s="26">
        <v>172</v>
      </c>
      <c r="C13" s="27">
        <v>5869</v>
      </c>
    </row>
    <row r="14" spans="1:3" ht="15" customHeight="1" x14ac:dyDescent="0.25">
      <c r="A14" s="28">
        <v>10</v>
      </c>
      <c r="B14" s="29">
        <v>186</v>
      </c>
      <c r="C14" s="30">
        <v>6206</v>
      </c>
    </row>
    <row r="15" spans="1:3" ht="15" customHeight="1" x14ac:dyDescent="0.25">
      <c r="A15" s="25">
        <v>11</v>
      </c>
      <c r="B15" s="26">
        <v>192</v>
      </c>
      <c r="C15" s="27">
        <v>6576</v>
      </c>
    </row>
    <row r="16" spans="1:3" ht="15" customHeight="1" x14ac:dyDescent="0.25">
      <c r="A16" s="28">
        <v>12</v>
      </c>
      <c r="B16" s="29">
        <v>192</v>
      </c>
      <c r="C16" s="30">
        <v>6445</v>
      </c>
    </row>
    <row r="17" spans="1:3" ht="15" customHeight="1" x14ac:dyDescent="0.25">
      <c r="A17" s="25">
        <v>13</v>
      </c>
      <c r="B17" s="26">
        <v>206</v>
      </c>
      <c r="C17" s="27">
        <v>6965</v>
      </c>
    </row>
    <row r="18" spans="1:3" ht="15" customHeight="1" x14ac:dyDescent="0.25">
      <c r="A18" s="28">
        <v>14</v>
      </c>
      <c r="B18" s="29">
        <v>202</v>
      </c>
      <c r="C18" s="30">
        <v>6771</v>
      </c>
    </row>
    <row r="19" spans="1:3" ht="15" customHeight="1" x14ac:dyDescent="0.25">
      <c r="A19" s="25">
        <v>15</v>
      </c>
      <c r="B19" s="26">
        <v>217</v>
      </c>
      <c r="C19" s="27">
        <v>7403</v>
      </c>
    </row>
    <row r="20" spans="1:3" ht="15" customHeight="1" x14ac:dyDescent="0.25">
      <c r="A20" s="28">
        <v>16</v>
      </c>
      <c r="B20" s="29">
        <v>223</v>
      </c>
      <c r="C20" s="30">
        <v>7637</v>
      </c>
    </row>
    <row r="21" spans="1:3" ht="15.75" customHeight="1" x14ac:dyDescent="0.25">
      <c r="A21" s="25">
        <v>17</v>
      </c>
      <c r="B21" s="26">
        <v>226</v>
      </c>
      <c r="C21" s="27">
        <v>7798</v>
      </c>
    </row>
    <row r="22" spans="1:3" ht="15.75" customHeight="1" x14ac:dyDescent="0.25">
      <c r="A22" s="28">
        <v>18</v>
      </c>
      <c r="B22" s="29">
        <v>230</v>
      </c>
      <c r="C22" s="30">
        <v>7832</v>
      </c>
    </row>
    <row r="23" spans="1:3" ht="15.75" customHeight="1" x14ac:dyDescent="0.25">
      <c r="A23" s="25">
        <v>19</v>
      </c>
      <c r="B23" s="26">
        <v>242</v>
      </c>
      <c r="C23" s="27">
        <v>8256</v>
      </c>
    </row>
    <row r="24" spans="1:3" ht="15.75" customHeight="1" x14ac:dyDescent="0.25">
      <c r="A24" s="28">
        <v>20</v>
      </c>
      <c r="B24" s="29">
        <v>248</v>
      </c>
      <c r="C24" s="30">
        <v>8451</v>
      </c>
    </row>
    <row r="25" spans="1:3" ht="15.75" customHeight="1" x14ac:dyDescent="0.25">
      <c r="A25" s="25">
        <v>21</v>
      </c>
      <c r="B25" s="26">
        <v>253</v>
      </c>
      <c r="C25" s="27">
        <v>8493</v>
      </c>
    </row>
    <row r="26" spans="1:3" ht="15.75" customHeight="1" x14ac:dyDescent="0.25">
      <c r="A26" s="28">
        <v>22</v>
      </c>
      <c r="B26" s="29">
        <v>253</v>
      </c>
      <c r="C26" s="30">
        <v>8551</v>
      </c>
    </row>
    <row r="27" spans="1:3" ht="15.75" customHeight="1" x14ac:dyDescent="0.25">
      <c r="A27" s="25">
        <v>23</v>
      </c>
      <c r="B27" s="26">
        <v>258</v>
      </c>
      <c r="C27" s="27">
        <v>8708</v>
      </c>
    </row>
    <row r="28" spans="1:3" ht="15.75" customHeight="1" x14ac:dyDescent="0.25">
      <c r="A28" s="28">
        <v>24</v>
      </c>
      <c r="B28" s="29">
        <v>264</v>
      </c>
      <c r="C28" s="30">
        <v>8923</v>
      </c>
    </row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C28" xr:uid="{00000000-0009-0000-0000-000002000000}"/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6"/>
  </sheetPr>
  <dimension ref="A1:J997"/>
  <sheetViews>
    <sheetView showGridLines="0" zoomScaleNormal="100" workbookViewId="0">
      <selection activeCell="F8" sqref="F7:F8"/>
    </sheetView>
  </sheetViews>
  <sheetFormatPr defaultColWidth="14.42578125" defaultRowHeight="15" x14ac:dyDescent="0.25"/>
  <cols>
    <col min="1" max="1" width="3" customWidth="1"/>
    <col min="2" max="2" width="32" customWidth="1"/>
    <col min="3" max="3" width="14" customWidth="1"/>
    <col min="4" max="4" width="34" customWidth="1"/>
    <col min="5" max="5" width="36" customWidth="1"/>
    <col min="6" max="6" width="16" customWidth="1"/>
    <col min="7" max="7" width="14" customWidth="1"/>
    <col min="8" max="8" width="10" customWidth="1"/>
    <col min="9" max="9" width="1.5703125" customWidth="1"/>
    <col min="10" max="10" width="52" customWidth="1"/>
  </cols>
  <sheetData>
    <row r="1" spans="1:10" ht="30" customHeight="1" x14ac:dyDescent="0.25">
      <c r="A1" s="13" t="s">
        <v>46</v>
      </c>
      <c r="B1" s="13"/>
      <c r="C1" s="13"/>
      <c r="D1" s="13"/>
      <c r="E1" s="13"/>
      <c r="F1" s="13"/>
      <c r="G1" s="13"/>
      <c r="H1" s="13"/>
    </row>
    <row r="2" spans="1:10" ht="21.75" customHeight="1" x14ac:dyDescent="0.25">
      <c r="A2" s="12" t="s">
        <v>47</v>
      </c>
      <c r="B2" s="12"/>
      <c r="C2" s="12"/>
      <c r="D2" s="12"/>
      <c r="E2" s="12"/>
      <c r="F2" s="12"/>
      <c r="G2" s="12"/>
      <c r="H2" s="12"/>
    </row>
    <row r="3" spans="1:10" ht="15" customHeight="1" x14ac:dyDescent="0.25"/>
    <row r="4" spans="1:10" ht="39.75" customHeight="1" x14ac:dyDescent="0.25">
      <c r="A4" s="11" t="s">
        <v>48</v>
      </c>
      <c r="B4" s="11"/>
      <c r="C4" s="11"/>
      <c r="D4" s="11"/>
      <c r="E4" s="11"/>
      <c r="F4" s="11"/>
      <c r="G4" s="11"/>
      <c r="H4" s="11"/>
    </row>
    <row r="5" spans="1:10" ht="15" customHeight="1" x14ac:dyDescent="0.25"/>
    <row r="6" spans="1:10" ht="18" customHeight="1" x14ac:dyDescent="0.25">
      <c r="B6" s="4" t="s">
        <v>26</v>
      </c>
      <c r="C6" s="4"/>
      <c r="D6" s="3" t="s">
        <v>27</v>
      </c>
      <c r="E6" s="3"/>
      <c r="F6" s="20" t="s">
        <v>28</v>
      </c>
      <c r="G6" s="20" t="s">
        <v>29</v>
      </c>
      <c r="J6" s="21" t="s">
        <v>30</v>
      </c>
    </row>
    <row r="7" spans="1:10" ht="30" customHeight="1" x14ac:dyDescent="0.25">
      <c r="B7" s="5" t="s">
        <v>49</v>
      </c>
      <c r="C7" s="5"/>
      <c r="D7" s="2" t="s">
        <v>50</v>
      </c>
      <c r="E7" s="2"/>
      <c r="F7" s="36"/>
      <c r="G7" s="22" t="str">
        <f>IF(F7="","",IFERROR(IF(ABS(F7-(275))&lt;0.5,"✓  Correct","✗  Try again"),"✗  Try again"))</f>
        <v/>
      </c>
      <c r="J7" s="1" t="s">
        <v>51</v>
      </c>
    </row>
    <row r="8" spans="1:10" ht="30" customHeight="1" x14ac:dyDescent="0.25">
      <c r="B8" s="5" t="s">
        <v>52</v>
      </c>
      <c r="C8" s="5"/>
      <c r="D8" s="2" t="s">
        <v>53</v>
      </c>
      <c r="E8" s="2"/>
      <c r="F8" s="36"/>
      <c r="G8" s="22" t="str">
        <f>IF(F8="","",IFERROR(IF(ABS(F8-(305))&lt;0.5,"✓  Correct","✗  Try again"),"✗  Try again"))</f>
        <v/>
      </c>
      <c r="J8" s="1"/>
    </row>
    <row r="9" spans="1:10" ht="15" customHeight="1" x14ac:dyDescent="0.25"/>
    <row r="10" spans="1:10" ht="33.75" customHeight="1" x14ac:dyDescent="0.25">
      <c r="A10" s="34" t="s">
        <v>54</v>
      </c>
      <c r="B10" s="34"/>
      <c r="C10" s="34"/>
      <c r="D10" s="34"/>
      <c r="E10" s="34"/>
      <c r="F10" s="34"/>
      <c r="G10" s="34"/>
      <c r="H10" s="34"/>
    </row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sheetProtection sheet="1" objects="1" scenarios="1" selectLockedCells="1"/>
  <mergeCells count="11">
    <mergeCell ref="A10:H10"/>
    <mergeCell ref="B7:C7"/>
    <mergeCell ref="D7:E7"/>
    <mergeCell ref="J7:J8"/>
    <mergeCell ref="B8:C8"/>
    <mergeCell ref="D8:E8"/>
    <mergeCell ref="A1:H1"/>
    <mergeCell ref="A2:H2"/>
    <mergeCell ref="A4:H4"/>
    <mergeCell ref="B6:C6"/>
    <mergeCell ref="D6:E6"/>
  </mergeCells>
  <conditionalFormatting sqref="G7:G8">
    <cfRule type="expression" dxfId="5" priority="2">
      <formula>ISNUMBER(SEARCH("Correct",G7))</formula>
    </cfRule>
    <cfRule type="expression" dxfId="4" priority="3">
      <formula>ISNUMBER(SEARCH("Try",G7))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J997"/>
  <sheetViews>
    <sheetView showGridLines="0" zoomScaleNormal="100" workbookViewId="0">
      <selection activeCell="F7" sqref="F7"/>
    </sheetView>
  </sheetViews>
  <sheetFormatPr defaultColWidth="14.42578125" defaultRowHeight="15" x14ac:dyDescent="0.25"/>
  <cols>
    <col min="1" max="1" width="3" customWidth="1"/>
    <col min="2" max="2" width="32" customWidth="1"/>
    <col min="3" max="3" width="14" customWidth="1"/>
    <col min="4" max="4" width="34" customWidth="1"/>
    <col min="5" max="5" width="12" customWidth="1"/>
    <col min="6" max="6" width="16" customWidth="1"/>
    <col min="7" max="7" width="14" customWidth="1"/>
    <col min="8" max="8" width="10" customWidth="1"/>
    <col min="9" max="9" width="1.5703125" customWidth="1"/>
    <col min="10" max="10" width="52" customWidth="1"/>
  </cols>
  <sheetData>
    <row r="1" spans="1:10" ht="30" customHeight="1" x14ac:dyDescent="0.25">
      <c r="A1" s="13" t="s">
        <v>55</v>
      </c>
      <c r="B1" s="13"/>
      <c r="C1" s="13"/>
      <c r="D1" s="13"/>
      <c r="E1" s="13"/>
      <c r="F1" s="13"/>
      <c r="G1" s="13"/>
      <c r="H1" s="13"/>
    </row>
    <row r="2" spans="1:10" ht="21.75" customHeight="1" x14ac:dyDescent="0.25">
      <c r="A2" s="12" t="s">
        <v>56</v>
      </c>
      <c r="B2" s="12"/>
      <c r="C2" s="12"/>
      <c r="D2" s="12"/>
      <c r="E2" s="12"/>
      <c r="F2" s="12"/>
      <c r="G2" s="12"/>
      <c r="H2" s="12"/>
    </row>
    <row r="3" spans="1:10" ht="15" customHeight="1" x14ac:dyDescent="0.25"/>
    <row r="4" spans="1:10" ht="43.5" customHeight="1" x14ac:dyDescent="0.25">
      <c r="A4" s="11" t="s">
        <v>57</v>
      </c>
      <c r="B4" s="11"/>
      <c r="C4" s="11"/>
      <c r="D4" s="11"/>
      <c r="E4" s="11"/>
      <c r="F4" s="11"/>
      <c r="G4" s="11"/>
      <c r="H4" s="11"/>
    </row>
    <row r="5" spans="1:10" ht="15" customHeight="1" x14ac:dyDescent="0.25"/>
    <row r="6" spans="1:10" ht="18" customHeight="1" x14ac:dyDescent="0.25">
      <c r="B6" s="4" t="s">
        <v>26</v>
      </c>
      <c r="C6" s="4"/>
      <c r="D6" s="3" t="s">
        <v>27</v>
      </c>
      <c r="E6" s="3"/>
      <c r="F6" s="20" t="s">
        <v>28</v>
      </c>
      <c r="G6" s="20" t="s">
        <v>29</v>
      </c>
      <c r="J6" s="21" t="s">
        <v>30</v>
      </c>
    </row>
    <row r="7" spans="1:10" ht="30" customHeight="1" x14ac:dyDescent="0.25">
      <c r="B7" s="5" t="s">
        <v>58</v>
      </c>
      <c r="C7" s="5"/>
      <c r="D7" s="2" t="s">
        <v>59</v>
      </c>
      <c r="E7" s="2"/>
      <c r="F7" s="36"/>
      <c r="G7" s="22" t="str">
        <f>IF(F7="","",IFERROR(IF(ABS(F7-(34.33))&lt;0.01,"✓  Correct","✗  Try again"),"✗  Try again"))</f>
        <v/>
      </c>
      <c r="J7" s="1" t="s">
        <v>60</v>
      </c>
    </row>
    <row r="8" spans="1:10" ht="30" customHeight="1" x14ac:dyDescent="0.25">
      <c r="B8" s="5" t="s">
        <v>61</v>
      </c>
      <c r="C8" s="5"/>
      <c r="D8" s="2" t="s">
        <v>62</v>
      </c>
      <c r="E8" s="2"/>
      <c r="F8" s="36"/>
      <c r="G8" s="22" t="str">
        <f>IF(F8="","",IFERROR(IF(ABS(F8-(-94.47))&lt;0.02,"✓  Correct","✗  Try again"),"✗  Try again"))</f>
        <v/>
      </c>
      <c r="J8" s="1"/>
    </row>
    <row r="9" spans="1:10" ht="30" customHeight="1" x14ac:dyDescent="0.25">
      <c r="B9" s="5" t="s">
        <v>63</v>
      </c>
      <c r="C9" s="5"/>
      <c r="D9" s="2" t="s">
        <v>64</v>
      </c>
      <c r="E9" s="2"/>
      <c r="F9" s="36"/>
      <c r="G9" s="22" t="str">
        <f>IF(F9="","",IFERROR(IF(ABS(F9-(0.9982))&lt;0.01,"✓  Correct","✗  Try again"),"✗  Try again"))</f>
        <v/>
      </c>
      <c r="J9" s="1"/>
    </row>
    <row r="10" spans="1:10" ht="15" customHeight="1" x14ac:dyDescent="0.25"/>
    <row r="11" spans="1:10" ht="15" customHeight="1" x14ac:dyDescent="0.25">
      <c r="B11" s="7" t="s">
        <v>65</v>
      </c>
      <c r="C11" s="7"/>
      <c r="D11" s="7"/>
      <c r="E11" s="7"/>
      <c r="F11" s="7"/>
      <c r="G11" s="7"/>
      <c r="H11" s="7"/>
    </row>
    <row r="12" spans="1:10" ht="15" customHeight="1" x14ac:dyDescent="0.25">
      <c r="B12" s="7"/>
      <c r="C12" s="7"/>
      <c r="D12" s="7"/>
      <c r="E12" s="7"/>
      <c r="F12" s="7"/>
      <c r="G12" s="7"/>
      <c r="H12" s="7"/>
    </row>
    <row r="13" spans="1:10" ht="15" customHeight="1" x14ac:dyDescent="0.25">
      <c r="B13" s="7"/>
      <c r="C13" s="7"/>
      <c r="D13" s="7"/>
      <c r="E13" s="7"/>
      <c r="F13" s="7"/>
      <c r="G13" s="7"/>
      <c r="H13" s="7"/>
    </row>
    <row r="14" spans="1:10" ht="1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</sheetData>
  <sheetProtection sheet="1" objects="1" scenarios="1" selectLockedCells="1"/>
  <mergeCells count="13">
    <mergeCell ref="B11:H13"/>
    <mergeCell ref="B7:C7"/>
    <mergeCell ref="D7:E7"/>
    <mergeCell ref="J7:J9"/>
    <mergeCell ref="B8:C8"/>
    <mergeCell ref="D8:E8"/>
    <mergeCell ref="B9:C9"/>
    <mergeCell ref="D9:E9"/>
    <mergeCell ref="A1:H1"/>
    <mergeCell ref="A2:H2"/>
    <mergeCell ref="A4:H4"/>
    <mergeCell ref="B6:C6"/>
    <mergeCell ref="D6:E6"/>
  </mergeCells>
  <conditionalFormatting sqref="G7:G9">
    <cfRule type="expression" dxfId="3" priority="2">
      <formula>ISNUMBER(SEARCH("Correct",G7))</formula>
    </cfRule>
    <cfRule type="expression" dxfId="2" priority="3">
      <formula>ISNUMBER(SEARCH("Try",G7))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J1000"/>
  <sheetViews>
    <sheetView showGridLines="0" tabSelected="1" zoomScaleNormal="100" workbookViewId="0">
      <selection activeCell="F7" sqref="F7"/>
    </sheetView>
  </sheetViews>
  <sheetFormatPr defaultColWidth="14.42578125" defaultRowHeight="15" x14ac:dyDescent="0.25"/>
  <cols>
    <col min="1" max="1" width="3" customWidth="1"/>
    <col min="2" max="2" width="32" customWidth="1"/>
    <col min="3" max="3" width="14" customWidth="1"/>
    <col min="4" max="4" width="34" customWidth="1"/>
    <col min="5" max="5" width="12" customWidth="1"/>
    <col min="6" max="6" width="16" customWidth="1"/>
    <col min="7" max="7" width="14" customWidth="1"/>
    <col min="8" max="8" width="10" customWidth="1"/>
    <col min="9" max="9" width="1.5703125" customWidth="1"/>
    <col min="10" max="10" width="52" customWidth="1"/>
  </cols>
  <sheetData>
    <row r="1" spans="1:10" ht="30" customHeight="1" x14ac:dyDescent="0.25">
      <c r="A1" s="13" t="s">
        <v>66</v>
      </c>
      <c r="B1" s="13"/>
      <c r="C1" s="13"/>
      <c r="D1" s="13"/>
      <c r="E1" s="13"/>
      <c r="F1" s="13"/>
      <c r="G1" s="13"/>
      <c r="H1" s="13"/>
    </row>
    <row r="2" spans="1:10" ht="21.75" customHeight="1" x14ac:dyDescent="0.25">
      <c r="A2" s="12" t="s">
        <v>67</v>
      </c>
      <c r="B2" s="12"/>
      <c r="C2" s="12"/>
      <c r="D2" s="12"/>
      <c r="E2" s="12"/>
      <c r="F2" s="12"/>
      <c r="G2" s="12"/>
      <c r="H2" s="12"/>
    </row>
    <row r="3" spans="1:10" ht="15" customHeight="1" x14ac:dyDescent="0.25"/>
    <row r="4" spans="1:10" ht="39.75" customHeight="1" x14ac:dyDescent="0.25">
      <c r="A4" s="11" t="s">
        <v>68</v>
      </c>
      <c r="B4" s="11"/>
      <c r="C4" s="11"/>
      <c r="D4" s="11"/>
      <c r="E4" s="11"/>
      <c r="F4" s="11"/>
      <c r="G4" s="11"/>
      <c r="H4" s="11"/>
    </row>
    <row r="5" spans="1:10" ht="15" customHeight="1" x14ac:dyDescent="0.25"/>
    <row r="6" spans="1:10" ht="18" customHeight="1" x14ac:dyDescent="0.25">
      <c r="B6" s="4" t="s">
        <v>26</v>
      </c>
      <c r="C6" s="4"/>
      <c r="D6" s="3" t="s">
        <v>27</v>
      </c>
      <c r="E6" s="3"/>
      <c r="F6" s="20" t="s">
        <v>28</v>
      </c>
      <c r="G6" s="20" t="s">
        <v>29</v>
      </c>
      <c r="J6" s="21" t="s">
        <v>30</v>
      </c>
    </row>
    <row r="7" spans="1:10" ht="42.75" customHeight="1" x14ac:dyDescent="0.25">
      <c r="B7" s="5" t="s">
        <v>69</v>
      </c>
      <c r="C7" s="5"/>
      <c r="D7" s="2" t="s">
        <v>70</v>
      </c>
      <c r="E7" s="2"/>
      <c r="F7" s="36"/>
      <c r="G7" s="22" t="str">
        <f>IF(F7="","",IFERROR(IF(ABS(F7-(10204))&lt;1,"✓  Correct","✗  Try again"),"✗  Try again"))</f>
        <v/>
      </c>
      <c r="J7" s="23" t="s">
        <v>71</v>
      </c>
    </row>
    <row r="8" spans="1:10" ht="15" customHeight="1" x14ac:dyDescent="0.25"/>
    <row r="9" spans="1:10" ht="33.75" customHeight="1" x14ac:dyDescent="0.25">
      <c r="A9" s="34" t="s">
        <v>72</v>
      </c>
      <c r="B9" s="34"/>
      <c r="C9" s="34"/>
      <c r="D9" s="34"/>
      <c r="E9" s="34"/>
      <c r="F9" s="34"/>
      <c r="G9" s="34"/>
      <c r="H9" s="34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8">
    <mergeCell ref="B7:C7"/>
    <mergeCell ref="D7:E7"/>
    <mergeCell ref="A9:H9"/>
    <mergeCell ref="A1:H1"/>
    <mergeCell ref="A2:H2"/>
    <mergeCell ref="A4:H4"/>
    <mergeCell ref="B6:C6"/>
    <mergeCell ref="D6:E6"/>
  </mergeCells>
  <conditionalFormatting sqref="G7">
    <cfRule type="expression" dxfId="1" priority="2">
      <formula>ISNUMBER(SEARCH("Correct",G7))</formula>
    </cfRule>
    <cfRule type="expression" dxfId="0" priority="3">
      <formula>ISNUMBER(SEARCH("Try",G7))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C1000"/>
  <sheetViews>
    <sheetView showGridLines="0" zoomScaleNormal="100" workbookViewId="0">
      <selection sqref="A1:C1"/>
    </sheetView>
  </sheetViews>
  <sheetFormatPr defaultColWidth="14.42578125" defaultRowHeight="15" x14ac:dyDescent="0.25"/>
  <cols>
    <col min="1" max="1" width="3" customWidth="1"/>
    <col min="2" max="2" width="26" customWidth="1"/>
    <col min="3" max="3" width="70" customWidth="1"/>
    <col min="4" max="8" width="8.7109375" customWidth="1"/>
  </cols>
  <sheetData>
    <row r="1" spans="1:3" ht="30" customHeight="1" x14ac:dyDescent="0.25">
      <c r="A1" s="13" t="s">
        <v>73</v>
      </c>
      <c r="B1" s="13"/>
      <c r="C1" s="13"/>
    </row>
    <row r="2" spans="1:3" ht="21.75" customHeight="1" x14ac:dyDescent="0.25">
      <c r="A2" s="12" t="s">
        <v>74</v>
      </c>
      <c r="B2" s="12"/>
      <c r="C2" s="12"/>
    </row>
    <row r="3" spans="1:3" ht="15" customHeight="1" x14ac:dyDescent="0.25"/>
    <row r="4" spans="1:3" ht="42" customHeight="1" x14ac:dyDescent="0.25">
      <c r="B4" s="31" t="s">
        <v>75</v>
      </c>
      <c r="C4" s="32" t="s">
        <v>76</v>
      </c>
    </row>
    <row r="5" spans="1:3" ht="42" customHeight="1" x14ac:dyDescent="0.25">
      <c r="B5" s="31" t="s">
        <v>77</v>
      </c>
      <c r="C5" s="32" t="s">
        <v>78</v>
      </c>
    </row>
    <row r="6" spans="1:3" ht="42" customHeight="1" x14ac:dyDescent="0.25">
      <c r="B6" s="31" t="s">
        <v>79</v>
      </c>
      <c r="C6" s="32" t="s">
        <v>80</v>
      </c>
    </row>
    <row r="7" spans="1:3" ht="42" customHeight="1" x14ac:dyDescent="0.25">
      <c r="B7" s="31" t="s">
        <v>81</v>
      </c>
      <c r="C7" s="32" t="s">
        <v>82</v>
      </c>
    </row>
    <row r="8" spans="1:3" ht="42" customHeight="1" x14ac:dyDescent="0.25">
      <c r="B8" s="31" t="s">
        <v>83</v>
      </c>
      <c r="C8" s="32" t="s">
        <v>84</v>
      </c>
    </row>
    <row r="9" spans="1:3" ht="42" customHeight="1" x14ac:dyDescent="0.25">
      <c r="B9" s="31" t="s">
        <v>85</v>
      </c>
      <c r="C9" s="32" t="s">
        <v>86</v>
      </c>
    </row>
    <row r="10" spans="1:3" ht="42" customHeight="1" x14ac:dyDescent="0.25">
      <c r="B10" s="31" t="s">
        <v>87</v>
      </c>
      <c r="C10" s="32" t="s">
        <v>88</v>
      </c>
    </row>
    <row r="11" spans="1:3" ht="42" customHeight="1" x14ac:dyDescent="0.25">
      <c r="B11" s="31" t="s">
        <v>89</v>
      </c>
      <c r="C11" s="32" t="s">
        <v>90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E1000"/>
  <sheetViews>
    <sheetView showGridLines="0" zoomScaleNormal="100" workbookViewId="0">
      <selection activeCell="D7" sqref="D7:E10"/>
    </sheetView>
  </sheetViews>
  <sheetFormatPr defaultColWidth="14.42578125" defaultRowHeight="15" x14ac:dyDescent="0.25"/>
  <cols>
    <col min="1" max="1" width="3" customWidth="1"/>
    <col min="2" max="2" width="54" customWidth="1"/>
    <col min="3" max="4" width="16" customWidth="1"/>
    <col min="5" max="5" width="36" customWidth="1"/>
    <col min="6" max="8" width="8.7109375" customWidth="1"/>
  </cols>
  <sheetData>
    <row r="1" spans="1:5" ht="30" customHeight="1" x14ac:dyDescent="0.25">
      <c r="A1" s="13" t="s">
        <v>91</v>
      </c>
      <c r="B1" s="13"/>
      <c r="C1" s="13"/>
      <c r="D1" s="13"/>
      <c r="E1" s="13"/>
    </row>
    <row r="2" spans="1:5" ht="21.75" customHeight="1" x14ac:dyDescent="0.25">
      <c r="A2" s="12" t="s">
        <v>92</v>
      </c>
      <c r="B2" s="12"/>
      <c r="C2" s="12"/>
      <c r="D2" s="12"/>
      <c r="E2" s="12"/>
    </row>
    <row r="3" spans="1:5" ht="15" customHeight="1" x14ac:dyDescent="0.25"/>
    <row r="4" spans="1:5" ht="27.75" customHeight="1" x14ac:dyDescent="0.25">
      <c r="A4" s="11" t="s">
        <v>93</v>
      </c>
      <c r="B4" s="11"/>
      <c r="C4" s="11"/>
      <c r="D4" s="11"/>
      <c r="E4" s="11"/>
    </row>
    <row r="5" spans="1:5" ht="15" customHeight="1" x14ac:dyDescent="0.25"/>
    <row r="6" spans="1:5" ht="24" customHeight="1" x14ac:dyDescent="0.25">
      <c r="A6" s="10" t="s">
        <v>94</v>
      </c>
      <c r="B6" s="10"/>
      <c r="C6" s="10"/>
      <c r="D6" s="10"/>
      <c r="E6" s="10"/>
    </row>
    <row r="7" spans="1:5" ht="43.5" customHeight="1" x14ac:dyDescent="0.25">
      <c r="B7" s="5" t="s">
        <v>95</v>
      </c>
      <c r="C7" s="5"/>
      <c r="D7" s="37"/>
      <c r="E7" s="37"/>
    </row>
    <row r="8" spans="1:5" ht="43.5" customHeight="1" x14ac:dyDescent="0.25">
      <c r="B8" s="5" t="s">
        <v>96</v>
      </c>
      <c r="C8" s="5"/>
      <c r="D8" s="37"/>
      <c r="E8" s="37"/>
    </row>
    <row r="9" spans="1:5" ht="43.5" customHeight="1" x14ac:dyDescent="0.25">
      <c r="B9" s="5" t="s">
        <v>97</v>
      </c>
      <c r="C9" s="5"/>
      <c r="D9" s="37"/>
      <c r="E9" s="37"/>
    </row>
    <row r="10" spans="1:5" ht="43.5" customHeight="1" x14ac:dyDescent="0.25">
      <c r="B10" s="5" t="s">
        <v>98</v>
      </c>
      <c r="C10" s="5"/>
      <c r="D10" s="37"/>
      <c r="E10" s="3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12">
    <mergeCell ref="B8:C8"/>
    <mergeCell ref="D8:E8"/>
    <mergeCell ref="B9:C9"/>
    <mergeCell ref="D9:E9"/>
    <mergeCell ref="B10:C10"/>
    <mergeCell ref="D10:E10"/>
    <mergeCell ref="A1:E1"/>
    <mergeCell ref="A2:E2"/>
    <mergeCell ref="A4:E4"/>
    <mergeCell ref="A6:E6"/>
    <mergeCell ref="B7:C7"/>
    <mergeCell ref="D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8F00"/>
  </sheetPr>
  <dimension ref="A1:V1000"/>
  <sheetViews>
    <sheetView showGridLines="0" zoomScaleNormal="100" workbookViewId="0">
      <selection activeCell="C6" sqref="C6"/>
    </sheetView>
  </sheetViews>
  <sheetFormatPr defaultColWidth="14.42578125" defaultRowHeight="15" x14ac:dyDescent="0.25"/>
  <cols>
    <col min="1" max="1" width="3" customWidth="1"/>
    <col min="2" max="2" width="50" customWidth="1"/>
    <col min="3" max="5" width="16" customWidth="1"/>
    <col min="6" max="6" width="34.7109375" customWidth="1"/>
    <col min="7" max="8" width="8.7109375" customWidth="1"/>
    <col min="10" max="22" width="3.42578125" customWidth="1"/>
  </cols>
  <sheetData>
    <row r="1" spans="1:22" ht="30" customHeight="1" x14ac:dyDescent="0.25">
      <c r="A1" s="13" t="s">
        <v>99</v>
      </c>
      <c r="B1" s="13"/>
      <c r="C1" s="13"/>
      <c r="D1" s="13"/>
      <c r="E1" s="13"/>
      <c r="F1" s="13"/>
      <c r="J1" s="14" t="s">
        <v>1</v>
      </c>
    </row>
    <row r="2" spans="1:22" ht="21.75" customHeight="1" x14ac:dyDescent="0.25">
      <c r="A2" s="12" t="s">
        <v>100</v>
      </c>
      <c r="B2" s="12"/>
      <c r="C2" s="12"/>
      <c r="D2" s="12"/>
      <c r="E2" s="12"/>
      <c r="F2" s="12"/>
      <c r="J2" s="15">
        <v>1</v>
      </c>
      <c r="K2" s="15">
        <v>2</v>
      </c>
      <c r="L2" s="15">
        <v>3</v>
      </c>
      <c r="M2" s="15">
        <v>4</v>
      </c>
      <c r="N2" s="15">
        <v>5</v>
      </c>
      <c r="O2" s="15">
        <v>6</v>
      </c>
      <c r="P2" s="15">
        <v>7</v>
      </c>
      <c r="Q2" s="15">
        <v>8</v>
      </c>
      <c r="R2" s="15">
        <v>9</v>
      </c>
      <c r="S2" s="16">
        <v>10</v>
      </c>
      <c r="T2" s="15">
        <v>11</v>
      </c>
      <c r="U2" s="15">
        <v>12</v>
      </c>
      <c r="V2" s="15">
        <v>13</v>
      </c>
    </row>
    <row r="3" spans="1:22" ht="15" customHeight="1" x14ac:dyDescent="0.25"/>
    <row r="4" spans="1:22" ht="24" customHeight="1" x14ac:dyDescent="0.25">
      <c r="A4" s="10" t="s">
        <v>101</v>
      </c>
      <c r="B4" s="10"/>
      <c r="C4" s="10"/>
      <c r="D4" s="10"/>
      <c r="E4" s="10"/>
      <c r="F4" s="10"/>
      <c r="G4" s="10"/>
      <c r="H4" s="10"/>
    </row>
    <row r="5" spans="1:22" ht="18" customHeight="1" x14ac:dyDescent="0.25">
      <c r="A5" s="11" t="s">
        <v>102</v>
      </c>
      <c r="B5" s="11"/>
      <c r="C5" s="11"/>
      <c r="D5" s="11"/>
      <c r="E5" s="11"/>
      <c r="F5" s="11"/>
      <c r="G5" s="11"/>
      <c r="H5" s="11"/>
    </row>
    <row r="6" spans="1:22" ht="24" customHeight="1" x14ac:dyDescent="0.25">
      <c r="C6" s="36"/>
      <c r="D6" s="5" t="s">
        <v>103</v>
      </c>
      <c r="E6" s="5"/>
      <c r="F6" s="5"/>
    </row>
    <row r="7" spans="1:22" ht="24" customHeight="1" x14ac:dyDescent="0.25">
      <c r="C7" s="36"/>
      <c r="D7" s="5" t="s">
        <v>104</v>
      </c>
      <c r="E7" s="5"/>
      <c r="F7" s="5"/>
    </row>
    <row r="8" spans="1:22" ht="24" customHeight="1" x14ac:dyDescent="0.25">
      <c r="C8" s="36"/>
      <c r="D8" s="5" t="s">
        <v>105</v>
      </c>
      <c r="E8" s="5"/>
      <c r="F8" s="5"/>
    </row>
    <row r="9" spans="1:22" ht="24" customHeight="1" x14ac:dyDescent="0.25">
      <c r="C9" s="36"/>
      <c r="D9" s="5" t="s">
        <v>106</v>
      </c>
      <c r="E9" s="5"/>
      <c r="F9" s="5"/>
    </row>
    <row r="10" spans="1:22" ht="24" customHeight="1" x14ac:dyDescent="0.25">
      <c r="C10" s="36"/>
      <c r="D10" s="5" t="s">
        <v>107</v>
      </c>
      <c r="E10" s="5"/>
      <c r="F10" s="5"/>
    </row>
    <row r="11" spans="1:22" ht="15" customHeight="1" x14ac:dyDescent="0.25"/>
    <row r="12" spans="1:22" ht="24" customHeight="1" x14ac:dyDescent="0.25">
      <c r="A12" s="10" t="s">
        <v>108</v>
      </c>
      <c r="B12" s="10"/>
      <c r="C12" s="10"/>
      <c r="D12" s="10"/>
      <c r="E12" s="10"/>
      <c r="F12" s="10"/>
      <c r="G12" s="10"/>
      <c r="H12" s="10"/>
    </row>
    <row r="13" spans="1:22" ht="18" customHeight="1" x14ac:dyDescent="0.25">
      <c r="A13" s="11" t="s">
        <v>109</v>
      </c>
      <c r="B13" s="11"/>
      <c r="C13" s="11"/>
      <c r="D13" s="11"/>
      <c r="E13" s="11"/>
      <c r="F13" s="11"/>
      <c r="G13" s="11"/>
      <c r="H13" s="11"/>
    </row>
    <row r="14" spans="1:22" ht="18" customHeight="1" x14ac:dyDescent="0.25">
      <c r="B14" s="6" t="s">
        <v>15</v>
      </c>
      <c r="C14" s="6"/>
      <c r="D14" s="6"/>
      <c r="E14" s="17" t="s">
        <v>110</v>
      </c>
    </row>
    <row r="15" spans="1:22" ht="21.75" customHeight="1" x14ac:dyDescent="0.25">
      <c r="B15" s="5" t="s">
        <v>17</v>
      </c>
      <c r="C15" s="5"/>
      <c r="D15" s="5"/>
      <c r="E15" s="36"/>
    </row>
    <row r="16" spans="1:22" ht="21.75" customHeight="1" x14ac:dyDescent="0.25">
      <c r="B16" s="5" t="s">
        <v>18</v>
      </c>
      <c r="C16" s="5"/>
      <c r="D16" s="5"/>
      <c r="E16" s="36"/>
    </row>
    <row r="17" spans="2:6" ht="21.75" customHeight="1" x14ac:dyDescent="0.25">
      <c r="B17" s="5" t="s">
        <v>19</v>
      </c>
      <c r="C17" s="5"/>
      <c r="D17" s="5"/>
      <c r="E17" s="36"/>
    </row>
    <row r="18" spans="2:6" ht="21.75" customHeight="1" x14ac:dyDescent="0.25">
      <c r="B18" s="5" t="s">
        <v>20</v>
      </c>
      <c r="C18" s="5"/>
      <c r="D18" s="5"/>
      <c r="E18" s="36"/>
    </row>
    <row r="19" spans="2:6" ht="15" customHeight="1" x14ac:dyDescent="0.25"/>
    <row r="20" spans="2:6" ht="15" customHeight="1" x14ac:dyDescent="0.25">
      <c r="B20" s="7" t="s">
        <v>111</v>
      </c>
      <c r="C20" s="7"/>
      <c r="D20" s="7"/>
      <c r="E20" s="7"/>
      <c r="F20" s="7"/>
    </row>
    <row r="21" spans="2:6" ht="15.75" customHeight="1" x14ac:dyDescent="0.25">
      <c r="B21" s="7"/>
      <c r="C21" s="7"/>
      <c r="D21" s="7"/>
      <c r="E21" s="7"/>
      <c r="F21" s="7"/>
    </row>
    <row r="22" spans="2:6" ht="15.75" customHeight="1" x14ac:dyDescent="0.25">
      <c r="B22" s="7"/>
      <c r="C22" s="7"/>
      <c r="D22" s="7"/>
      <c r="E22" s="7"/>
      <c r="F22" s="7"/>
    </row>
    <row r="23" spans="2:6" ht="15.75" customHeight="1" x14ac:dyDescent="0.25"/>
    <row r="24" spans="2:6" ht="15.75" customHeight="1" x14ac:dyDescent="0.25"/>
    <row r="25" spans="2:6" ht="15.75" customHeight="1" x14ac:dyDescent="0.25"/>
    <row r="26" spans="2:6" ht="15.75" customHeight="1" x14ac:dyDescent="0.25"/>
    <row r="27" spans="2:6" ht="15.75" customHeight="1" x14ac:dyDescent="0.25"/>
    <row r="28" spans="2:6" ht="15.75" customHeight="1" x14ac:dyDescent="0.25"/>
    <row r="29" spans="2:6" ht="15.75" customHeight="1" x14ac:dyDescent="0.25"/>
    <row r="30" spans="2:6" ht="15.75" customHeight="1" x14ac:dyDescent="0.25"/>
    <row r="31" spans="2:6" ht="15.75" customHeight="1" x14ac:dyDescent="0.25"/>
    <row r="32" spans="2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sheetProtection sheet="1" objects="1" scenarios="1" selectLockedCells="1"/>
  <mergeCells count="17">
    <mergeCell ref="B18:D18"/>
    <mergeCell ref="B20:F22"/>
    <mergeCell ref="A13:H13"/>
    <mergeCell ref="B14:D14"/>
    <mergeCell ref="B15:D15"/>
    <mergeCell ref="B16:D16"/>
    <mergeCell ref="B17:D17"/>
    <mergeCell ref="D7:F7"/>
    <mergeCell ref="D8:F8"/>
    <mergeCell ref="D9:F9"/>
    <mergeCell ref="D10:F10"/>
    <mergeCell ref="A12:H12"/>
    <mergeCell ref="A1:F1"/>
    <mergeCell ref="A2:F2"/>
    <mergeCell ref="A4:H4"/>
    <mergeCell ref="A5:H5"/>
    <mergeCell ref="D6:F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Start Here</vt:lpstr>
      <vt:lpstr>Warm-up</vt:lpstr>
      <vt:lpstr>Riverside_Monthly</vt:lpstr>
      <vt:lpstr>Task 1 - Forecasting</vt:lpstr>
      <vt:lpstr>Task 2 - Regression</vt:lpstr>
      <vt:lpstr>Task 3 - Predict</vt:lpstr>
      <vt:lpstr>Support</vt:lpstr>
      <vt:lpstr>Stretch</vt:lpstr>
      <vt:lpstr>Confidence &amp; Next 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Chittenden</cp:lastModifiedBy>
  <cp:revision>0</cp:revision>
  <dcterms:created xsi:type="dcterms:W3CDTF">2026-06-10T13:07:25Z</dcterms:created>
  <dcterms:modified xsi:type="dcterms:W3CDTF">2026-06-22T21:37:32Z</dcterms:modified>
  <dc:language>en-US</dc:language>
</cp:coreProperties>
</file>