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training-resources\"/>
    </mc:Choice>
  </mc:AlternateContent>
  <xr:revisionPtr revIDLastSave="0" documentId="8_{BF174A14-925A-4860-9D33-C25025AD0461}" xr6:coauthVersionLast="47" xr6:coauthVersionMax="47" xr10:uidLastSave="{00000000-0000-0000-0000-000000000000}"/>
  <bookViews>
    <workbookView xWindow="28680" yWindow="-120" windowWidth="29040" windowHeight="17520" tabRatio="709" firstSheet="4" activeTab="10" xr2:uid="{00000000-000D-0000-FFFF-FFFF00000000}"/>
  </bookViews>
  <sheets>
    <sheet name="Start Here" sheetId="1" r:id="rId1"/>
    <sheet name="Fees" sheetId="2" r:id="rId2"/>
    <sheet name="Audit" sheetId="3" r:id="rId3"/>
    <sheet name="Club Data" sheetId="4" r:id="rId4"/>
    <sheet name="Task 1 - Expected Fee" sheetId="5" r:id="rId5"/>
    <sheet name="Task 2 - Reconcile" sheetId="6" r:id="rId6"/>
    <sheet name="Task 3 - Find the Mismatch" sheetId="7" r:id="rId7"/>
    <sheet name="Task 4 - Validation Checks" sheetId="8" r:id="rId8"/>
    <sheet name="Support" sheetId="9" r:id="rId9"/>
    <sheet name="Stretch" sheetId="10" r:id="rId10"/>
    <sheet name="Confidence &amp; Next Steps" sheetId="11" r:id="rId11"/>
  </sheets>
  <definedNames>
    <definedName name="_xlnm._FilterDatabase" localSheetId="2" hidden="1">Audit!$A$4:$E$24</definedName>
    <definedName name="_xlnm._FilterDatabase" localSheetId="3" hidden="1">'Club Data'!$A$4:$I$27</definedName>
    <definedName name="_xlnm._FilterDatabase" localSheetId="1" hidden="1">Fees!$A$4:$B$8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 i="8" l="1"/>
  <c r="G7" i="8"/>
  <c r="G9" i="7"/>
  <c r="G8" i="7"/>
  <c r="G7" i="7"/>
  <c r="G9" i="6"/>
  <c r="G8" i="6"/>
  <c r="G7" i="6"/>
  <c r="G9" i="5"/>
  <c r="G8" i="5"/>
  <c r="G7" i="5"/>
  <c r="D24" i="3"/>
  <c r="D23" i="3"/>
  <c r="D22" i="3"/>
  <c r="D21" i="3"/>
  <c r="D20" i="3"/>
  <c r="D19" i="3"/>
  <c r="D18" i="3"/>
  <c r="D17" i="3"/>
  <c r="D16" i="3"/>
  <c r="D15" i="3"/>
  <c r="D14" i="3"/>
  <c r="D13" i="3"/>
  <c r="D12" i="3"/>
  <c r="D11" i="3"/>
  <c r="D10" i="3"/>
  <c r="D9" i="3"/>
  <c r="D8" i="3"/>
  <c r="D7" i="3"/>
  <c r="D6" i="3"/>
  <c r="D5" i="3"/>
</calcChain>
</file>

<file path=xl/sharedStrings.xml><?xml version="1.0" encoding="utf-8"?>
<sst xmlns="http://schemas.openxmlformats.org/spreadsheetml/2006/main" count="304" uniqueCount="164">
  <si>
    <t>Module 13  -  Auditing &amp; Validation</t>
  </si>
  <si>
    <t>YOUR JOURNEY</t>
  </si>
  <si>
    <t>Turn your analysis skills into CHECKS  -  Self-paced  (capstone)</t>
  </si>
  <si>
    <t>This is where it all comes together. Auditing means checking that data is RIGHT - does what was paid match what SHOULD have been paid? You'll reconcile each member's fee against the price list, find the one that doesn't add up, and run a few validation checks. These are the exact 'cross-check and audit' skills Scenario 2 of the assessment asks for.</t>
  </si>
  <si>
    <t>The core idea: expected vs actual</t>
  </si>
  <si>
    <t>The club has a price list: Junior 20, Senior 28, Adult 35, Family 55. Every member SHOULD pay the fee for their type. An audit compares EXPECTED (from the price list) with ACTUAL (what they paid) and flags any difference.</t>
  </si>
  <si>
    <t>If actual and expected don't reconcile, something needs investigating - an error, an overpayment, or a missing record.</t>
  </si>
  <si>
    <t>What you'll do</t>
  </si>
  <si>
    <t>•  Look up each member's expected fee from the price list.</t>
  </si>
  <si>
    <t>•  Reconcile the totals: actual paid vs expected, and explain the gap.</t>
  </si>
  <si>
    <t>•  Find the mismatching member, and run validation checks (missing payments, out-of-range values).</t>
  </si>
  <si>
    <t>Before you start</t>
  </si>
  <si>
    <t>Auditing is detective work, and it's satisfying - the numbers either reconcile or they point you to a problem. There's no pressure: a wrong formula just gets fixed. Breathe (in 4, hold 4, out 6) and follow the trail.</t>
  </si>
  <si>
    <t>Your confidence baseline  (1 = not yet, 5 = confident)</t>
  </si>
  <si>
    <t>Statement</t>
  </si>
  <si>
    <t>Rating (1-5)</t>
  </si>
  <si>
    <t>I can look up an expected value from a reference table</t>
  </si>
  <si>
    <t>I can reconcile an actual total against an expected total</t>
  </si>
  <si>
    <t>I can find and flag records that don't match</t>
  </si>
  <si>
    <t>I can run validation checks (blanks, out-of-range)</t>
  </si>
  <si>
    <t>Price list (Fees)</t>
  </si>
  <si>
    <t>The expected fee for each membership type</t>
  </si>
  <si>
    <t>MembershipType</t>
  </si>
  <si>
    <t>Fee</t>
  </si>
  <si>
    <t>Adult</t>
  </si>
  <si>
    <t>Family</t>
  </si>
  <si>
    <t>Junior</t>
  </si>
  <si>
    <t>Senior</t>
  </si>
  <si>
    <t>This is your reference table. VLOOKUP uses it to fetch the expected fee for any type. (Type in A5:A8, Fee in B5:B8.)</t>
  </si>
  <si>
    <t>Audit data: members who paid</t>
  </si>
  <si>
    <t>Actual=C5:C24, Expected=D5:D24 (live VLOOKUPs into the Fees price list - click one to see). Column E is yours to flag.</t>
  </si>
  <si>
    <t>MemberID</t>
  </si>
  <si>
    <t>Actual</t>
  </si>
  <si>
    <t>Expected</t>
  </si>
  <si>
    <t>Flag (yours)</t>
  </si>
  <si>
    <t>Data: Club Data (all members)</t>
  </si>
  <si>
    <t>All 23 members - Amount in column G (3 are blank: no payment)</t>
  </si>
  <si>
    <t>Name</t>
  </si>
  <si>
    <t>JoinYear</t>
  </si>
  <si>
    <t>MemberSegment</t>
  </si>
  <si>
    <t>Tenure</t>
  </si>
  <si>
    <t>Amount</t>
  </si>
  <si>
    <t>Method</t>
  </si>
  <si>
    <t>AmountReview</t>
  </si>
  <si>
    <t>Aisha Khan</t>
  </si>
  <si>
    <t>Full</t>
  </si>
  <si>
    <t>Established</t>
  </si>
  <si>
    <t>Direct Debit</t>
  </si>
  <si>
    <t>Standard</t>
  </si>
  <si>
    <t>Tom Reilly</t>
  </si>
  <si>
    <t>Household</t>
  </si>
  <si>
    <t>High</t>
  </si>
  <si>
    <t>Grace O'Neil</t>
  </si>
  <si>
    <t>Concession</t>
  </si>
  <si>
    <t>Recent</t>
  </si>
  <si>
    <t>Card</t>
  </si>
  <si>
    <t>Low</t>
  </si>
  <si>
    <t>David Patel</t>
  </si>
  <si>
    <t>Veteran</t>
  </si>
  <si>
    <t>Maria Santos</t>
  </si>
  <si>
    <t>Liam Walsh</t>
  </si>
  <si>
    <t>Cash</t>
  </si>
  <si>
    <t>Chloe Bennett</t>
  </si>
  <si>
    <t>Noah Fischer</t>
  </si>
  <si>
    <t>Priya Sharma</t>
  </si>
  <si>
    <t>James Murray</t>
  </si>
  <si>
    <t>Sofia Rossi</t>
  </si>
  <si>
    <t>Ben Carter</t>
  </si>
  <si>
    <t>Hannah Lee</t>
  </si>
  <si>
    <t>Omar Hassan</t>
  </si>
  <si>
    <t>Ella Thompson</t>
  </si>
  <si>
    <t>Escalate</t>
  </si>
  <si>
    <t>Jack Robinson</t>
  </si>
  <si>
    <t>Mia Nguyen</t>
  </si>
  <si>
    <t>Daniel Clarke</t>
  </si>
  <si>
    <t>Zara Ahmed</t>
  </si>
  <si>
    <t>Lucas Meyer</t>
  </si>
  <si>
    <t>Freya Scott</t>
  </si>
  <si>
    <t>Adam Foster</t>
  </si>
  <si>
    <t>Isla Murphy</t>
  </si>
  <si>
    <t>Task 1 - Look up the expected fee</t>
  </si>
  <si>
    <t>Use the price list with VLOOKUP</t>
  </si>
  <si>
    <t>VLOOKUP fetches the fee for a type from the Fees price list (Type in Fees!A5:A8, Fee in Fees!B5:B8). The '4th argument' FALSE means an exact match.</t>
  </si>
  <si>
    <t>What to work out</t>
  </si>
  <si>
    <t>Type this kind of formula</t>
  </si>
  <si>
    <t>Your result</t>
  </si>
  <si>
    <t>Check</t>
  </si>
  <si>
    <t>🧭 Explore further</t>
  </si>
  <si>
    <t>Expected fee for an Adult member</t>
  </si>
  <si>
    <t>e.g.  =VLOOKUP("Adult",Fees!A5:B8,2,FALSE)</t>
  </si>
  <si>
    <t>Explore: if your Excel has it, try =XLOOKUP("Adult",Fees!A5:A8,Fees!B5:B8) — no column number to count, and it can return a friendly 'Not found' message instead of an error. Click a cell in Audit column D to see the live VLOOKUP.</t>
  </si>
  <si>
    <t>Expected fee for a Family member</t>
  </si>
  <si>
    <t>e.g.  =VLOOKUP("Family",Fees!A5:B8,2,FALSE)</t>
  </si>
  <si>
    <t>Expected fee for a Senior member</t>
  </si>
  <si>
    <t>e.g.  =VLOOKUP("Senior",Fees!A5:B8,2,FALSE)</t>
  </si>
  <si>
    <t>💡  On the Audit tab the Expected column is already filled this way for every paying member - VLOOKUP looked up each one's fee. Now you'll use it.</t>
  </si>
  <si>
    <t>Task 2 - Reconcile the totals</t>
  </si>
  <si>
    <t>Does what was paid match what was expected?</t>
  </si>
  <si>
    <t>On the Audit tab: Actual is C5:C24, Expected is D5:D24. Total them both and find the gap.</t>
  </si>
  <si>
    <t>Total ACTUALLY paid</t>
  </si>
  <si>
    <t>e.g.  =SUM(Audit!C5:C24)</t>
  </si>
  <si>
    <t>Explore: one-cell health check: =IF(SUM(Audit!C5:C24)=SUM(Audit!D5:D24),"Reconciled","Investigate"). Green light or red flag, nothing in between.</t>
  </si>
  <si>
    <t>Total EXPECTED (sum of the fees they should pay)</t>
  </si>
  <si>
    <t>e.g.  =SUM(Audit!D5:D24)</t>
  </si>
  <si>
    <t>The gap (actual minus expected)</t>
  </si>
  <si>
    <t>e.g.  =SUM(Audit!C5:C24)-SUM(Audit!D5:D24)</t>
  </si>
  <si>
    <t>💡  A gap of 315 means the books don't balance against the price list. The next task finds exactly where it came from.</t>
  </si>
  <si>
    <t>Task 3 - Find the mismatch</t>
  </si>
  <si>
    <t>Which member doesn't add up?</t>
  </si>
  <si>
    <t>Compare each member's Actual against their Expected. A flag formula labels each row; a count tells you how many are wrong. Actual=C5:C24, Expected=D5:D24.</t>
  </si>
  <si>
    <t>Flag row 19: 'CHECK' if Actual &lt;&gt; Expected, else 'OK'</t>
  </si>
  <si>
    <t>e.g.  =IF(Audit!C19&lt;&gt;Audit!D19,"CHECK","OK")</t>
  </si>
  <si>
    <t>Explore: automate the eyeball — select C5:D24, Home &gt; Conditional Formatting &gt; New Rule &gt; formula =$C5&lt;&gt;$D5, red fill. The mismatch lights up by itself.</t>
  </si>
  <si>
    <t>How many members paid an amount different from their expected fee</t>
  </si>
  <si>
    <t>e.g.  =SUMPRODUCT(--(Audit!C5:C24&lt;&gt;Audit!D5:D24))</t>
  </si>
  <si>
    <t>Which MemberID is the mismatch? (fill column E with the flag, then read its MemberID)</t>
  </si>
  <si>
    <t>e.g.  1015</t>
  </si>
  <si>
    <t>Case closed: exactly 1 member (1015) paid 350 instead of the expected 35 for an Adult - an overpayment of 315, which is the WHOLE gap you found in Task 2. That is a complete audit: you found the discrepancy, quantified it, and explained the total. You'd flag member 1015 for someone to investigate (a typo? a one-off? a refund due?).</t>
  </si>
  <si>
    <t>Task 4 - Other validation checks</t>
  </si>
  <si>
    <t>Quick checks every data set should pass</t>
  </si>
  <si>
    <t>Beyond the fee reconciliation, run a couple of standard validations on the full membership (Club Data, Amount in G5:G27).</t>
  </si>
  <si>
    <t>How many members have NO payment recorded (blank Amount)</t>
  </si>
  <si>
    <t>e.g.  =COUNTBLANK('Club Data'!G5:G27)</t>
  </si>
  <si>
    <t>Explore: try the opposite range check too: =COUNTIF(range,"&lt;20") — payments below the cheapest fee. And =COUNTIF(range,"&lt;0") should ALWAYS be zero; if not, stop everything.</t>
  </si>
  <si>
    <t>How many payments are above the top fee of 55 (out of expected range)</t>
  </si>
  <si>
    <t>e.g.  =COUNTIF('Club Data'!G5:G27,"&gt;55")</t>
  </si>
  <si>
    <t>💡  Findings: 3 members have no payment on file (chase or write off?), and 1 payment is above any valid fee (the 350 again). Each is a flag for follow-up - validation is about RAISING questions, not silently fixing.</t>
  </si>
  <si>
    <t>Support - auditing toolkit</t>
  </si>
  <si>
    <t>Type = first, then the function.</t>
  </si>
  <si>
    <t>VLOOKUP</t>
  </si>
  <si>
    <t>VLOOKUP(value, table, column_number, FALSE) - fetches a matching value from a reference table. FALSE = exact match. Example: VLOOKUP("Adult",Fees!A5:B8,2,FALSE).</t>
  </si>
  <si>
    <t>Reconcile totals</t>
  </si>
  <si>
    <t>SUM the actual column and SUM the expected column; subtract. A non-zero gap means something to investigate.</t>
  </si>
  <si>
    <t>Flag a mismatch (IF + &lt;&gt;)</t>
  </si>
  <si>
    <t>IF(actual&lt;&gt;expected,"CHECK","OK"). The &lt;&gt; means 'not equal to'. Copy it down the column.</t>
  </si>
  <si>
    <t>Count mismatches</t>
  </si>
  <si>
    <t>SUMPRODUCT(--(rangeA&lt;&gt;rangeB)) counts how many rows differ. (The -- turns TRUE/FALSE into 1/0.)</t>
  </si>
  <si>
    <t>Count blanks (missing data)</t>
  </si>
  <si>
    <t>COUNTBLANK(range) - how many cells are empty. Missing records are a classic data-quality issue.</t>
  </si>
  <si>
    <t>Out-of-range check</t>
  </si>
  <si>
    <t>COUNTIF(range,"&gt;55") or "&lt;0" - counts values outside what's valid. Flag, don't delete.</t>
  </si>
  <si>
    <t>Document findings</t>
  </si>
  <si>
    <t>An audit ends with a note: what you checked, what you found, and what needs follow-up. That record IS the deliverable.</t>
  </si>
  <si>
    <t>Stretch - the auditor's mindset</t>
  </si>
  <si>
    <t>Judgement, not just formulas</t>
  </si>
  <si>
    <t>A good auditor explains findings and proposes action - they don't just spot numbers.</t>
  </si>
  <si>
    <t>Write the audit note (no marking)</t>
  </si>
  <si>
    <t>Write 2-3 sentences you would hand to the club manager about member 1015: what you found, by how much, and what they should do.</t>
  </si>
  <si>
    <t>You found 3 members with no payment. List three DIFFERENT innocent explanations - and three that would worry you.</t>
  </si>
  <si>
    <t>Reconciliation caught an OVERpayment. What check would catch the opposite - members who paid too LITTLE or not at all?</t>
  </si>
  <si>
    <t>Why is 'flag for investigation' usually safer than 'correct it yourself' when you find an anomaly?</t>
  </si>
  <si>
    <t>Confidence &amp; Next Steps</t>
  </si>
  <si>
    <t>You've completed the analysis block</t>
  </si>
  <si>
    <t>Mastery gate - tick all of these to finish the block</t>
  </si>
  <si>
    <t>Type x in each yellow box you can tick.</t>
  </si>
  <si>
    <t>I can look up an expected value with VLOOKUP</t>
  </si>
  <si>
    <t>I reconciled the actual total against the expected total</t>
  </si>
  <si>
    <t>I flagged the mismatch and identified the member</t>
  </si>
  <si>
    <t>I ran validation checks for blanks and out-of-range values</t>
  </si>
  <si>
    <t>I can write up findings and recommend follow-up (not silently fix)</t>
  </si>
  <si>
    <t>Re-rate your confidence (compare with your baseline)</t>
  </si>
  <si>
    <t>Seeing these rise from your Module 13 baseline is the goal.</t>
  </si>
  <si>
    <t>Now (1-5)</t>
  </si>
  <si>
    <t>Well done - that completes the analysis &amp; validation block (Modules 7-13): basics, IF, IFS, forecasting &amp; regression, pivots, dashboards, and auditing - all on one continuous dataset, and all mapping to Scenario 2 of the assessment. Together with Modules 1-6 (import, clean, shape, blend, patterns) you now have the full data-handling journey a Data Technician needs for the scenario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</si>
</sst>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8"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b/>
      <sz val="11"/>
      <color rgb="FF1F3B57"/>
      <name val="Arial"/>
      <family val="2"/>
    </font>
    <font>
      <sz val="11"/>
      <color rgb="FF006100"/>
      <name val="Arial"/>
      <family val="2"/>
    </font>
    <font>
      <b/>
      <sz val="10.5"/>
      <color rgb="FFFFFFFF"/>
      <name val="Arial"/>
      <family val="2"/>
    </font>
    <font>
      <b/>
      <sz val="11"/>
      <color rgb="FFFFFFFF"/>
      <name val="Arial"/>
      <family val="2"/>
    </font>
    <font>
      <sz val="11"/>
      <color rgb="FF2E8B8B"/>
      <name val="Arial"/>
      <family val="2"/>
    </font>
    <font>
      <b/>
      <sz val="10"/>
      <color rgb="FF1F6B6B"/>
      <name val="Arial"/>
      <family val="2"/>
    </font>
    <font>
      <i/>
      <sz val="10"/>
      <color rgb="FF555555"/>
      <name val="Arial"/>
      <family val="2"/>
    </font>
    <font>
      <b/>
      <sz val="11"/>
      <name val="Arial"/>
      <family val="2"/>
    </font>
    <font>
      <i/>
      <sz val="9.5"/>
      <color rgb="FF3F6363"/>
      <name val="Arial"/>
      <family val="2"/>
    </font>
    <font>
      <sz val="10.5"/>
      <color rgb="FF5B4A1F"/>
      <name val="Arial"/>
      <family val="2"/>
    </font>
  </fonts>
  <fills count="12">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F2F7F7"/>
        <bgColor rgb="FFEFF6F6"/>
      </patternFill>
    </fill>
    <fill>
      <patternFill patternType="solid">
        <fgColor rgb="FFFFFFFF"/>
        <bgColor rgb="FFF2F7F7"/>
      </patternFill>
    </fill>
    <fill>
      <patternFill patternType="solid">
        <fgColor rgb="FFEFF6F6"/>
        <bgColor rgb="FFF2F7F7"/>
      </patternFill>
    </fill>
    <fill>
      <patternFill patternType="solid">
        <fgColor rgb="FFFDF4E3"/>
        <bgColor rgb="FFF2F7F7"/>
      </patternFill>
    </fill>
  </fills>
  <borders count="10">
    <border>
      <left/>
      <right/>
      <top/>
      <bottom/>
      <diagonal/>
    </border>
    <border>
      <left/>
      <right/>
      <top/>
      <bottom style="medium">
        <color rgb="FF2E8B8B"/>
      </bottom>
      <diagonal/>
    </border>
    <border>
      <left style="thick">
        <color rgb="FF2E8B8B"/>
      </left>
      <right/>
      <top/>
      <bottom/>
      <diagonal/>
    </border>
    <border>
      <left style="thick">
        <color rgb="FF2E8B8B"/>
      </left>
      <right/>
      <top style="thin">
        <color rgb="FFBFBFBF"/>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s>
  <cellStyleXfs count="1">
    <xf numFmtId="0" fontId="0" fillId="0" borderId="0"/>
  </cellStyleXfs>
  <cellXfs count="38">
    <xf numFmtId="0" fontId="0" fillId="0" borderId="0" xfId="0"/>
    <xf numFmtId="0" fontId="14" fillId="0" borderId="5" xfId="0" applyFont="1" applyBorder="1" applyAlignment="1">
      <alignment vertical="top" wrapText="1"/>
    </xf>
    <xf numFmtId="0" fontId="10" fillId="2" borderId="0" xfId="0" applyFont="1" applyFill="1" applyAlignment="1">
      <alignment horizontal="center" vertical="center" wrapText="1"/>
    </xf>
    <xf numFmtId="0" fontId="10" fillId="2" borderId="0" xfId="0" applyFont="1" applyFill="1" applyAlignment="1">
      <alignment horizontal="left" vertical="center" wrapText="1" indent="1"/>
    </xf>
    <xf numFmtId="0" fontId="12" fillId="0" borderId="0" xfId="0" applyFont="1" applyAlignment="1">
      <alignment vertical="top" wrapText="1"/>
    </xf>
    <xf numFmtId="0" fontId="6" fillId="0" borderId="5" xfId="0" applyFont="1" applyBorder="1" applyAlignment="1">
      <alignment vertical="top" wrapText="1"/>
    </xf>
    <xf numFmtId="0" fontId="10" fillId="2" borderId="0" xfId="0" applyFont="1" applyFill="1" applyAlignment="1">
      <alignment vertical="center" wrapText="1" indent="1"/>
    </xf>
    <xf numFmtId="0" fontId="9" fillId="6" borderId="4" xfId="0" applyFont="1" applyFill="1" applyBorder="1" applyAlignment="1">
      <alignment vertical="top" wrapText="1"/>
    </xf>
    <xf numFmtId="0" fontId="8" fillId="0" borderId="0" xfId="0" applyFont="1" applyAlignment="1">
      <alignment vertical="top" wrapText="1"/>
    </xf>
    <xf numFmtId="0" fontId="6" fillId="5" borderId="3" xfId="0" applyFont="1" applyFill="1" applyBorder="1" applyAlignment="1">
      <alignment vertical="center" wrapText="1" inden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10" fillId="2" borderId="0" xfId="0" applyFont="1" applyFill="1" applyAlignment="1">
      <alignment vertical="center" wrapText="1"/>
    </xf>
    <xf numFmtId="0" fontId="11" fillId="2" borderId="1" xfId="0" applyFont="1" applyFill="1" applyBorder="1" applyAlignment="1">
      <alignment horizontal="center" vertical="center"/>
    </xf>
    <xf numFmtId="0" fontId="6" fillId="8" borderId="6" xfId="0" applyFont="1" applyFill="1" applyBorder="1"/>
    <xf numFmtId="164" fontId="6" fillId="8" borderId="6" xfId="0" applyNumberFormat="1" applyFont="1" applyFill="1" applyBorder="1" applyAlignment="1">
      <alignment horizontal="center" vertical="center"/>
    </xf>
    <xf numFmtId="0" fontId="6" fillId="9" borderId="6" xfId="0" applyFont="1" applyFill="1" applyBorder="1"/>
    <xf numFmtId="164" fontId="6" fillId="9" borderId="6" xfId="0" applyNumberFormat="1" applyFont="1" applyFill="1" applyBorder="1" applyAlignment="1">
      <alignment horizontal="center" vertical="center"/>
    </xf>
    <xf numFmtId="0" fontId="6" fillId="8" borderId="6" xfId="0" applyFont="1" applyFill="1" applyBorder="1" applyAlignment="1">
      <alignment horizontal="center"/>
    </xf>
    <xf numFmtId="0" fontId="0" fillId="7" borderId="6" xfId="0" applyFill="1" applyBorder="1"/>
    <xf numFmtId="0" fontId="6" fillId="9" borderId="6" xfId="0" applyFont="1" applyFill="1" applyBorder="1" applyAlignment="1">
      <alignment horizontal="center"/>
    </xf>
    <xf numFmtId="164" fontId="6" fillId="8" borderId="6" xfId="0" applyNumberFormat="1" applyFont="1" applyFill="1" applyBorder="1" applyAlignment="1">
      <alignment horizontal="right"/>
    </xf>
    <xf numFmtId="164" fontId="6" fillId="9" borderId="6" xfId="0" applyNumberFormat="1" applyFont="1" applyFill="1" applyBorder="1" applyAlignment="1">
      <alignment horizontal="right"/>
    </xf>
    <xf numFmtId="0" fontId="10" fillId="2" borderId="0" xfId="0" applyFont="1" applyFill="1" applyAlignment="1">
      <alignment horizontal="center" vertical="center" wrapText="1"/>
    </xf>
    <xf numFmtId="0" fontId="13" fillId="0" borderId="0" xfId="0" applyFont="1" applyAlignment="1">
      <alignment vertical="center"/>
    </xf>
    <xf numFmtId="0" fontId="15" fillId="0" borderId="7" xfId="0" applyFont="1" applyBorder="1" applyAlignment="1">
      <alignment horizontal="center" vertical="center"/>
    </xf>
    <xf numFmtId="0" fontId="8" fillId="0" borderId="7" xfId="0" applyFont="1" applyBorder="1" applyAlignment="1">
      <alignment vertical="top" wrapText="1"/>
    </xf>
    <xf numFmtId="0" fontId="6" fillId="0" borderId="7" xfId="0" applyFont="1" applyBorder="1" applyAlignment="1">
      <alignment vertical="top" wrapText="1"/>
    </xf>
    <xf numFmtId="0" fontId="16" fillId="10" borderId="8" xfId="0" applyFont="1" applyFill="1" applyBorder="1" applyAlignment="1">
      <alignment vertical="top" wrapText="1"/>
    </xf>
    <xf numFmtId="0" fontId="17" fillId="11" borderId="9" xfId="0" applyFont="1" applyFill="1" applyBorder="1" applyAlignment="1">
      <alignment vertical="top" wrapText="1"/>
    </xf>
    <xf numFmtId="0" fontId="0" fillId="7" borderId="5" xfId="0" applyFill="1" applyBorder="1" applyAlignment="1" applyProtection="1">
      <alignment horizontal="center" vertical="center"/>
      <protection locked="0"/>
    </xf>
    <xf numFmtId="0" fontId="0" fillId="7" borderId="7" xfId="0" applyFill="1" applyBorder="1" applyAlignment="1" applyProtection="1">
      <alignment horizontal="center" vertical="center"/>
      <protection locked="0"/>
    </xf>
    <xf numFmtId="0" fontId="0" fillId="7" borderId="5" xfId="0" applyFill="1" applyBorder="1" applyAlignment="1" applyProtection="1">
      <alignment vertical="top" wrapText="1"/>
      <protection locked="0"/>
    </xf>
  </cellXfs>
  <cellStyles count="1">
    <cellStyle name="Normal" xfId="0" builtinId="0"/>
  </cellStyles>
  <dxfs count="8">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8C99"/>
      <rgbColor rgb="FF9999FF"/>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3F6363"/>
      <rgbColor rgb="FF0000FF"/>
      <rgbColor rgb="FF00CCFF"/>
      <rgbColor rgb="FFEFF6F6"/>
      <rgbColor rgb="FFC6EFCE"/>
      <rgbColor rgb="FFFDF4E3"/>
      <rgbColor rgb="FF9DC3C3"/>
      <rgbColor rgb="FFF2F7F7"/>
      <rgbColor rgb="FFE2E6EA"/>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555555"/>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3" sqref="G23:H23"/>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3" t="s">
        <v>0</v>
      </c>
      <c r="B1" s="13"/>
      <c r="C1" s="13"/>
      <c r="D1" s="13"/>
      <c r="E1" s="13"/>
      <c r="F1" s="13"/>
      <c r="G1" s="13"/>
      <c r="H1" s="13"/>
      <c r="J1" s="14" t="s">
        <v>1</v>
      </c>
    </row>
    <row r="2" spans="1:22" ht="21.75" customHeight="1" x14ac:dyDescent="0.25">
      <c r="A2" s="12" t="s">
        <v>2</v>
      </c>
      <c r="B2" s="12"/>
      <c r="C2" s="12"/>
      <c r="D2" s="12"/>
      <c r="E2" s="12"/>
      <c r="F2" s="12"/>
      <c r="G2" s="12"/>
      <c r="H2" s="12"/>
      <c r="J2" s="15">
        <v>1</v>
      </c>
      <c r="K2" s="15">
        <v>2</v>
      </c>
      <c r="L2" s="15">
        <v>3</v>
      </c>
      <c r="M2" s="15">
        <v>4</v>
      </c>
      <c r="N2" s="15">
        <v>5</v>
      </c>
      <c r="O2" s="15">
        <v>6</v>
      </c>
      <c r="P2" s="15">
        <v>7</v>
      </c>
      <c r="Q2" s="15">
        <v>8</v>
      </c>
      <c r="R2" s="15">
        <v>9</v>
      </c>
      <c r="S2" s="15">
        <v>10</v>
      </c>
      <c r="T2" s="15">
        <v>11</v>
      </c>
      <c r="U2" s="15">
        <v>12</v>
      </c>
      <c r="V2" s="16">
        <v>13</v>
      </c>
    </row>
    <row r="4" spans="1:22" ht="57.75" customHeight="1" x14ac:dyDescent="0.25">
      <c r="A4" s="11" t="s">
        <v>3</v>
      </c>
      <c r="B4" s="11"/>
      <c r="C4" s="11"/>
      <c r="D4" s="11"/>
      <c r="E4" s="11"/>
      <c r="F4" s="11"/>
      <c r="G4" s="11"/>
      <c r="H4" s="11"/>
    </row>
    <row r="6" spans="1:22" ht="24" customHeight="1" x14ac:dyDescent="0.25">
      <c r="A6" s="10" t="s">
        <v>4</v>
      </c>
      <c r="B6" s="10"/>
      <c r="C6" s="10"/>
      <c r="D6" s="10"/>
      <c r="E6" s="10"/>
      <c r="F6" s="10"/>
      <c r="G6" s="10"/>
      <c r="H6" s="10"/>
    </row>
    <row r="7" spans="1:22" ht="19.5" customHeight="1" x14ac:dyDescent="0.25">
      <c r="B7" s="9" t="s">
        <v>5</v>
      </c>
      <c r="C7" s="9"/>
      <c r="D7" s="9"/>
      <c r="E7" s="9"/>
      <c r="F7" s="9"/>
      <c r="G7" s="9"/>
      <c r="H7" s="9"/>
    </row>
    <row r="8" spans="1:22" ht="15" customHeight="1" x14ac:dyDescent="0.25">
      <c r="B8" s="9"/>
      <c r="C8" s="9"/>
      <c r="D8" s="9"/>
      <c r="E8" s="9"/>
      <c r="F8" s="9"/>
      <c r="G8" s="9"/>
      <c r="H8" s="9"/>
    </row>
    <row r="9" spans="1:22" ht="18" customHeight="1" x14ac:dyDescent="0.25">
      <c r="A9" s="8" t="s">
        <v>6</v>
      </c>
      <c r="B9" s="8"/>
      <c r="C9" s="8"/>
      <c r="D9" s="8"/>
      <c r="E9" s="8"/>
      <c r="F9" s="8"/>
      <c r="G9" s="8"/>
      <c r="H9" s="8"/>
    </row>
    <row r="11" spans="1:22" ht="24" customHeight="1" x14ac:dyDescent="0.25">
      <c r="A11" s="10" t="s">
        <v>7</v>
      </c>
      <c r="B11" s="10"/>
      <c r="C11" s="10"/>
      <c r="D11" s="10"/>
      <c r="E11" s="10"/>
      <c r="F11" s="10"/>
      <c r="G11" s="10"/>
      <c r="H11" s="10"/>
    </row>
    <row r="12" spans="1:22" ht="15.75" customHeight="1" x14ac:dyDescent="0.25">
      <c r="A12" s="11" t="s">
        <v>8</v>
      </c>
      <c r="B12" s="11"/>
      <c r="C12" s="11"/>
      <c r="D12" s="11"/>
      <c r="E12" s="11"/>
      <c r="F12" s="11"/>
      <c r="G12" s="11"/>
      <c r="H12" s="11"/>
    </row>
    <row r="13" spans="1:22" ht="15.75" customHeight="1" x14ac:dyDescent="0.25">
      <c r="A13" s="11" t="s">
        <v>9</v>
      </c>
      <c r="B13" s="11"/>
      <c r="C13" s="11"/>
      <c r="D13" s="11"/>
      <c r="E13" s="11"/>
      <c r="F13" s="11"/>
      <c r="G13" s="11"/>
      <c r="H13" s="11"/>
    </row>
    <row r="14" spans="1:22" ht="15.75" customHeight="1" x14ac:dyDescent="0.25">
      <c r="A14" s="11" t="s">
        <v>10</v>
      </c>
      <c r="B14" s="11"/>
      <c r="C14" s="11"/>
      <c r="D14" s="11"/>
      <c r="E14" s="11"/>
      <c r="F14" s="11"/>
      <c r="G14" s="11"/>
      <c r="H14" s="11"/>
    </row>
    <row r="16" spans="1:22" ht="24" customHeight="1" x14ac:dyDescent="0.25">
      <c r="A16" s="10" t="s">
        <v>11</v>
      </c>
      <c r="B16" s="10"/>
      <c r="C16" s="10"/>
      <c r="D16" s="10"/>
      <c r="E16" s="10"/>
      <c r="F16" s="10"/>
      <c r="G16" s="10"/>
      <c r="H16" s="10"/>
    </row>
    <row r="17" spans="1:8" ht="15" customHeight="1" x14ac:dyDescent="0.25">
      <c r="B17" s="7" t="s">
        <v>12</v>
      </c>
      <c r="C17" s="7"/>
      <c r="D17" s="7"/>
      <c r="E17" s="7"/>
      <c r="F17" s="7"/>
      <c r="G17" s="7"/>
      <c r="H17" s="7"/>
    </row>
    <row r="18" spans="1:8" ht="15" customHeight="1" x14ac:dyDescent="0.25">
      <c r="B18" s="7"/>
      <c r="C18" s="7"/>
      <c r="D18" s="7"/>
      <c r="E18" s="7"/>
      <c r="F18" s="7"/>
      <c r="G18" s="7"/>
      <c r="H18" s="7"/>
    </row>
    <row r="19" spans="1:8" ht="15" customHeight="1" x14ac:dyDescent="0.25">
      <c r="B19" s="7"/>
      <c r="C19" s="7"/>
      <c r="D19" s="7"/>
      <c r="E19" s="7"/>
      <c r="F19" s="7"/>
      <c r="G19" s="7"/>
      <c r="H19" s="7"/>
    </row>
    <row r="21" spans="1:8" ht="24" customHeight="1" x14ac:dyDescent="0.25">
      <c r="A21" s="10" t="s">
        <v>13</v>
      </c>
      <c r="B21" s="10"/>
      <c r="C21" s="10"/>
      <c r="D21" s="10"/>
      <c r="E21" s="10"/>
      <c r="F21" s="10"/>
      <c r="G21" s="10"/>
      <c r="H21" s="10"/>
    </row>
    <row r="22" spans="1:8" ht="18" customHeight="1" x14ac:dyDescent="0.25">
      <c r="B22" s="6" t="s">
        <v>14</v>
      </c>
      <c r="C22" s="6"/>
      <c r="D22" s="6"/>
      <c r="E22" s="6"/>
      <c r="F22" s="6"/>
      <c r="G22" s="17" t="s">
        <v>15</v>
      </c>
    </row>
    <row r="23" spans="1:8" ht="15" customHeight="1" x14ac:dyDescent="0.25">
      <c r="B23" s="5" t="s">
        <v>16</v>
      </c>
      <c r="C23" s="5"/>
      <c r="D23" s="5"/>
      <c r="E23" s="5"/>
      <c r="F23" s="5"/>
      <c r="G23" s="35"/>
      <c r="H23" s="35"/>
    </row>
    <row r="24" spans="1:8" ht="15" customHeight="1" x14ac:dyDescent="0.25">
      <c r="B24" s="5" t="s">
        <v>17</v>
      </c>
      <c r="C24" s="5"/>
      <c r="D24" s="5"/>
      <c r="E24" s="5"/>
      <c r="F24" s="5"/>
      <c r="G24" s="35"/>
      <c r="H24" s="35"/>
    </row>
    <row r="25" spans="1:8" ht="15" customHeight="1" x14ac:dyDescent="0.25">
      <c r="B25" s="5" t="s">
        <v>18</v>
      </c>
      <c r="C25" s="5"/>
      <c r="D25" s="5"/>
      <c r="E25" s="5"/>
      <c r="F25" s="5"/>
      <c r="G25" s="35"/>
      <c r="H25" s="35"/>
    </row>
    <row r="26" spans="1:8" ht="15" customHeight="1" x14ac:dyDescent="0.25">
      <c r="B26" s="5" t="s">
        <v>19</v>
      </c>
      <c r="C26" s="5"/>
      <c r="D26" s="5"/>
      <c r="E26" s="5"/>
      <c r="F26" s="5"/>
      <c r="G26" s="35"/>
      <c r="H26" s="35"/>
    </row>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2">
    <mergeCell ref="B24:F24"/>
    <mergeCell ref="G24:H24"/>
    <mergeCell ref="B25:F25"/>
    <mergeCell ref="G25:H25"/>
    <mergeCell ref="B26:F26"/>
    <mergeCell ref="G26:H26"/>
    <mergeCell ref="A16:H16"/>
    <mergeCell ref="B17:H19"/>
    <mergeCell ref="A21:H21"/>
    <mergeCell ref="B22:F22"/>
    <mergeCell ref="B23:F23"/>
    <mergeCell ref="G23:H23"/>
    <mergeCell ref="A9:H9"/>
    <mergeCell ref="A11:H11"/>
    <mergeCell ref="A12:H12"/>
    <mergeCell ref="A13:H13"/>
    <mergeCell ref="A14:H14"/>
    <mergeCell ref="A1:H1"/>
    <mergeCell ref="A2:H2"/>
    <mergeCell ref="A4:H4"/>
    <mergeCell ref="A6:H6"/>
    <mergeCell ref="B7: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99"/>
  </sheetPr>
  <dimension ref="A1:B1000"/>
  <sheetViews>
    <sheetView showGridLines="0" zoomScaleNormal="100" workbookViewId="0">
      <pane ySplit="4" topLeftCell="A5" activePane="bottomLeft" state="frozen"/>
      <selection pane="bottomLeft" sqref="A1:B1"/>
    </sheetView>
  </sheetViews>
  <sheetFormatPr defaultColWidth="14.42578125" defaultRowHeight="15" x14ac:dyDescent="0.25"/>
  <cols>
    <col min="1" max="1" width="30" customWidth="1"/>
    <col min="2" max="2" width="10" customWidth="1"/>
    <col min="3" max="12" width="8.7109375" customWidth="1"/>
  </cols>
  <sheetData>
    <row r="1" spans="1:2" ht="30" customHeight="1" x14ac:dyDescent="0.25">
      <c r="A1" s="13" t="s">
        <v>20</v>
      </c>
      <c r="B1" s="13"/>
    </row>
    <row r="2" spans="1:2" ht="21.75" customHeight="1" x14ac:dyDescent="0.25">
      <c r="A2" s="12" t="s">
        <v>21</v>
      </c>
      <c r="B2" s="12"/>
    </row>
    <row r="4" spans="1:2" ht="19.5" customHeight="1" x14ac:dyDescent="0.25">
      <c r="A4" s="18" t="s">
        <v>22</v>
      </c>
      <c r="B4" s="18" t="s">
        <v>23</v>
      </c>
    </row>
    <row r="5" spans="1:2" ht="15" customHeight="1" x14ac:dyDescent="0.25">
      <c r="A5" s="19" t="s">
        <v>24</v>
      </c>
      <c r="B5" s="20">
        <v>35</v>
      </c>
    </row>
    <row r="6" spans="1:2" ht="15" customHeight="1" x14ac:dyDescent="0.25">
      <c r="A6" s="21" t="s">
        <v>25</v>
      </c>
      <c r="B6" s="22">
        <v>55</v>
      </c>
    </row>
    <row r="7" spans="1:2" ht="15" customHeight="1" x14ac:dyDescent="0.25">
      <c r="A7" s="19" t="s">
        <v>26</v>
      </c>
      <c r="B7" s="20">
        <v>20</v>
      </c>
    </row>
    <row r="8" spans="1:2" ht="15" customHeight="1" x14ac:dyDescent="0.25">
      <c r="A8" s="21" t="s">
        <v>27</v>
      </c>
      <c r="B8" s="22">
        <v>28</v>
      </c>
    </row>
    <row r="11" spans="1:2" ht="39.75" customHeight="1" x14ac:dyDescent="0.25">
      <c r="A11" s="4" t="s">
        <v>28</v>
      </c>
      <c r="B11" s="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B8" xr:uid="{00000000-0009-0000-0000-000001000000}"/>
  <mergeCells count="3">
    <mergeCell ref="A1:B1"/>
    <mergeCell ref="A2:B2"/>
    <mergeCell ref="A11:B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99"/>
  </sheetPr>
  <dimension ref="A1:E1000"/>
  <sheetViews>
    <sheetView showGridLines="0" zoomScaleNormal="100" workbookViewId="0">
      <pane ySplit="4" topLeftCell="A5" activePane="bottomLeft" state="frozen"/>
      <selection pane="bottomLeft"/>
    </sheetView>
  </sheetViews>
  <sheetFormatPr defaultColWidth="14.42578125" defaultRowHeight="15" x14ac:dyDescent="0.25"/>
  <cols>
    <col min="1" max="1" width="11" customWidth="1"/>
    <col min="2" max="2" width="17" customWidth="1"/>
    <col min="3" max="5" width="10" customWidth="1"/>
    <col min="6" max="12" width="8.7109375" customWidth="1"/>
  </cols>
  <sheetData>
    <row r="1" spans="1:5" ht="30" customHeight="1" x14ac:dyDescent="0.25">
      <c r="A1" s="13" t="s">
        <v>29</v>
      </c>
      <c r="B1" s="13"/>
      <c r="C1" s="13"/>
      <c r="D1" s="13"/>
      <c r="E1" s="13"/>
    </row>
    <row r="2" spans="1:5" ht="21.75" customHeight="1" x14ac:dyDescent="0.25">
      <c r="A2" s="12" t="s">
        <v>30</v>
      </c>
      <c r="B2" s="12"/>
      <c r="C2" s="12"/>
      <c r="D2" s="12"/>
      <c r="E2" s="12"/>
    </row>
    <row r="4" spans="1:5" ht="19.5" customHeight="1" x14ac:dyDescent="0.25">
      <c r="A4" s="18" t="s">
        <v>31</v>
      </c>
      <c r="B4" s="18" t="s">
        <v>22</v>
      </c>
      <c r="C4" s="18" t="s">
        <v>32</v>
      </c>
      <c r="D4" s="18" t="s">
        <v>33</v>
      </c>
      <c r="E4" s="18" t="s">
        <v>34</v>
      </c>
    </row>
    <row r="5" spans="1:5" ht="15" customHeight="1" x14ac:dyDescent="0.25">
      <c r="A5" s="23">
        <v>1001</v>
      </c>
      <c r="B5" s="19" t="s">
        <v>24</v>
      </c>
      <c r="C5" s="20">
        <v>35</v>
      </c>
      <c r="D5" s="20">
        <f>VLOOKUP(B5,Fees!$A$5:$B$8,2,FALSE())</f>
        <v>35</v>
      </c>
      <c r="E5" s="24"/>
    </row>
    <row r="6" spans="1:5" ht="15" customHeight="1" x14ac:dyDescent="0.25">
      <c r="A6" s="25">
        <v>1002</v>
      </c>
      <c r="B6" s="21" t="s">
        <v>25</v>
      </c>
      <c r="C6" s="22">
        <v>55</v>
      </c>
      <c r="D6" s="22">
        <f>VLOOKUP(B6,Fees!$A$5:$B$8,2,FALSE())</f>
        <v>55</v>
      </c>
      <c r="E6" s="24"/>
    </row>
    <row r="7" spans="1:5" ht="15" customHeight="1" x14ac:dyDescent="0.25">
      <c r="A7" s="23">
        <v>1003</v>
      </c>
      <c r="B7" s="19" t="s">
        <v>26</v>
      </c>
      <c r="C7" s="20">
        <v>20</v>
      </c>
      <c r="D7" s="20">
        <f>VLOOKUP(B7,Fees!$A$5:$B$8,2,FALSE())</f>
        <v>20</v>
      </c>
      <c r="E7" s="24"/>
    </row>
    <row r="8" spans="1:5" ht="15" customHeight="1" x14ac:dyDescent="0.25">
      <c r="A8" s="25">
        <v>1004</v>
      </c>
      <c r="B8" s="21" t="s">
        <v>27</v>
      </c>
      <c r="C8" s="22">
        <v>28</v>
      </c>
      <c r="D8" s="22">
        <f>VLOOKUP(B8,Fees!$A$5:$B$8,2,FALSE())</f>
        <v>28</v>
      </c>
      <c r="E8" s="24"/>
    </row>
    <row r="9" spans="1:5" ht="15" customHeight="1" x14ac:dyDescent="0.25">
      <c r="A9" s="23">
        <v>1005</v>
      </c>
      <c r="B9" s="19" t="s">
        <v>24</v>
      </c>
      <c r="C9" s="20">
        <v>35</v>
      </c>
      <c r="D9" s="20">
        <f>VLOOKUP(B9,Fees!$A$5:$B$8,2,FALSE())</f>
        <v>35</v>
      </c>
      <c r="E9" s="24"/>
    </row>
    <row r="10" spans="1:5" ht="15" customHeight="1" x14ac:dyDescent="0.25">
      <c r="A10" s="25">
        <v>1006</v>
      </c>
      <c r="B10" s="21" t="s">
        <v>24</v>
      </c>
      <c r="C10" s="22">
        <v>35</v>
      </c>
      <c r="D10" s="22">
        <f>VLOOKUP(B10,Fees!$A$5:$B$8,2,FALSE())</f>
        <v>35</v>
      </c>
      <c r="E10" s="24"/>
    </row>
    <row r="11" spans="1:5" ht="15" customHeight="1" x14ac:dyDescent="0.25">
      <c r="A11" s="23">
        <v>1007</v>
      </c>
      <c r="B11" s="19" t="s">
        <v>25</v>
      </c>
      <c r="C11" s="20">
        <v>55</v>
      </c>
      <c r="D11" s="20">
        <f>VLOOKUP(B11,Fees!$A$5:$B$8,2,FALSE())</f>
        <v>55</v>
      </c>
      <c r="E11" s="24"/>
    </row>
    <row r="12" spans="1:5" ht="15" customHeight="1" x14ac:dyDescent="0.25">
      <c r="A12" s="25">
        <v>1008</v>
      </c>
      <c r="B12" s="21" t="s">
        <v>26</v>
      </c>
      <c r="C12" s="22">
        <v>20</v>
      </c>
      <c r="D12" s="22">
        <f>VLOOKUP(B12,Fees!$A$5:$B$8,2,FALSE())</f>
        <v>20</v>
      </c>
      <c r="E12" s="24"/>
    </row>
    <row r="13" spans="1:5" ht="15" customHeight="1" x14ac:dyDescent="0.25">
      <c r="A13" s="23">
        <v>1009</v>
      </c>
      <c r="B13" s="19" t="s">
        <v>24</v>
      </c>
      <c r="C13" s="20">
        <v>35</v>
      </c>
      <c r="D13" s="20">
        <f>VLOOKUP(B13,Fees!$A$5:$B$8,2,FALSE())</f>
        <v>35</v>
      </c>
      <c r="E13" s="24"/>
    </row>
    <row r="14" spans="1:5" ht="15" customHeight="1" x14ac:dyDescent="0.25">
      <c r="A14" s="25">
        <v>1010</v>
      </c>
      <c r="B14" s="21" t="s">
        <v>27</v>
      </c>
      <c r="C14" s="22">
        <v>28</v>
      </c>
      <c r="D14" s="22">
        <f>VLOOKUP(B14,Fees!$A$5:$B$8,2,FALSE())</f>
        <v>28</v>
      </c>
      <c r="E14" s="24"/>
    </row>
    <row r="15" spans="1:5" ht="15" customHeight="1" x14ac:dyDescent="0.25">
      <c r="A15" s="23">
        <v>1011</v>
      </c>
      <c r="B15" s="19" t="s">
        <v>24</v>
      </c>
      <c r="C15" s="20">
        <v>35</v>
      </c>
      <c r="D15" s="20">
        <f>VLOOKUP(B15,Fees!$A$5:$B$8,2,FALSE())</f>
        <v>35</v>
      </c>
      <c r="E15" s="24"/>
    </row>
    <row r="16" spans="1:5" ht="15" customHeight="1" x14ac:dyDescent="0.25">
      <c r="A16" s="25">
        <v>1012</v>
      </c>
      <c r="B16" s="21" t="s">
        <v>25</v>
      </c>
      <c r="C16" s="22">
        <v>55</v>
      </c>
      <c r="D16" s="22">
        <f>VLOOKUP(B16,Fees!$A$5:$B$8,2,FALSE())</f>
        <v>55</v>
      </c>
      <c r="E16" s="24"/>
    </row>
    <row r="17" spans="1:5" ht="15" customHeight="1" x14ac:dyDescent="0.25">
      <c r="A17" s="23">
        <v>1013</v>
      </c>
      <c r="B17" s="19" t="s">
        <v>26</v>
      </c>
      <c r="C17" s="20">
        <v>20</v>
      </c>
      <c r="D17" s="20">
        <f>VLOOKUP(B17,Fees!$A$5:$B$8,2,FALSE())</f>
        <v>20</v>
      </c>
      <c r="E17" s="24"/>
    </row>
    <row r="18" spans="1:5" ht="15" customHeight="1" x14ac:dyDescent="0.25">
      <c r="A18" s="25">
        <v>1014</v>
      </c>
      <c r="B18" s="21" t="s">
        <v>24</v>
      </c>
      <c r="C18" s="22">
        <v>35</v>
      </c>
      <c r="D18" s="22">
        <f>VLOOKUP(B18,Fees!$A$5:$B$8,2,FALSE())</f>
        <v>35</v>
      </c>
      <c r="E18" s="24"/>
    </row>
    <row r="19" spans="1:5" ht="15" customHeight="1" x14ac:dyDescent="0.25">
      <c r="A19" s="23">
        <v>1015</v>
      </c>
      <c r="B19" s="19" t="s">
        <v>24</v>
      </c>
      <c r="C19" s="20">
        <v>350</v>
      </c>
      <c r="D19" s="20">
        <f>VLOOKUP(B19,Fees!$A$5:$B$8,2,FALSE())</f>
        <v>35</v>
      </c>
      <c r="E19" s="24"/>
    </row>
    <row r="20" spans="1:5" ht="15" customHeight="1" x14ac:dyDescent="0.25">
      <c r="A20" s="25">
        <v>1016</v>
      </c>
      <c r="B20" s="21" t="s">
        <v>27</v>
      </c>
      <c r="C20" s="22">
        <v>28</v>
      </c>
      <c r="D20" s="22">
        <f>VLOOKUP(B20,Fees!$A$5:$B$8,2,FALSE())</f>
        <v>28</v>
      </c>
      <c r="E20" s="24"/>
    </row>
    <row r="21" spans="1:5" ht="15.75" customHeight="1" x14ac:dyDescent="0.25">
      <c r="A21" s="23">
        <v>1017</v>
      </c>
      <c r="B21" s="19" t="s">
        <v>24</v>
      </c>
      <c r="C21" s="20">
        <v>35</v>
      </c>
      <c r="D21" s="20">
        <f>VLOOKUP(B21,Fees!$A$5:$B$8,2,FALSE())</f>
        <v>35</v>
      </c>
      <c r="E21" s="24"/>
    </row>
    <row r="22" spans="1:5" ht="15.75" customHeight="1" x14ac:dyDescent="0.25">
      <c r="A22" s="25">
        <v>1018</v>
      </c>
      <c r="B22" s="21" t="s">
        <v>25</v>
      </c>
      <c r="C22" s="22">
        <v>55</v>
      </c>
      <c r="D22" s="22">
        <f>VLOOKUP(B22,Fees!$A$5:$B$8,2,FALSE())</f>
        <v>55</v>
      </c>
      <c r="E22" s="24"/>
    </row>
    <row r="23" spans="1:5" ht="15.75" customHeight="1" x14ac:dyDescent="0.25">
      <c r="A23" s="23">
        <v>1019</v>
      </c>
      <c r="B23" s="19" t="s">
        <v>26</v>
      </c>
      <c r="C23" s="20">
        <v>20</v>
      </c>
      <c r="D23" s="20">
        <f>VLOOKUP(B23,Fees!$A$5:$B$8,2,FALSE())</f>
        <v>20</v>
      </c>
      <c r="E23" s="24"/>
    </row>
    <row r="24" spans="1:5" ht="15.75" customHeight="1" x14ac:dyDescent="0.25">
      <c r="A24" s="25">
        <v>1020</v>
      </c>
      <c r="B24" s="21" t="s">
        <v>24</v>
      </c>
      <c r="C24" s="22">
        <v>35</v>
      </c>
      <c r="D24" s="22">
        <f>VLOOKUP(B24,Fees!$A$5:$B$8,2,FALSE())</f>
        <v>35</v>
      </c>
      <c r="E24" s="24"/>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E24" xr:uid="{00000000-0009-0000-0000-000002000000}"/>
  <mergeCells count="2">
    <mergeCell ref="A1:E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99"/>
  </sheetPr>
  <dimension ref="A1:I1000"/>
  <sheetViews>
    <sheetView showGridLines="0" zoomScaleNormal="100" workbookViewId="0">
      <pane ySplit="4" topLeftCell="A5" activePane="bottomLeft" state="frozen"/>
      <selection pane="bottomLeft"/>
    </sheetView>
  </sheetViews>
  <sheetFormatPr defaultColWidth="14.42578125" defaultRowHeight="15" x14ac:dyDescent="0.25"/>
  <cols>
    <col min="1" max="1" width="11" customWidth="1"/>
    <col min="2" max="2" width="16" customWidth="1"/>
    <col min="3" max="3" width="17" customWidth="1"/>
    <col min="4" max="4" width="11" customWidth="1"/>
    <col min="5" max="5" width="16" customWidth="1"/>
    <col min="6" max="8" width="14" customWidth="1"/>
    <col min="9" max="9" width="15" customWidth="1"/>
    <col min="10" max="12" width="8.7109375" customWidth="1"/>
  </cols>
  <sheetData>
    <row r="1" spans="1:9" ht="30" customHeight="1" x14ac:dyDescent="0.25">
      <c r="A1" s="13" t="s">
        <v>35</v>
      </c>
      <c r="B1" s="13"/>
      <c r="C1" s="13"/>
      <c r="D1" s="13"/>
      <c r="E1" s="13"/>
      <c r="F1" s="13"/>
      <c r="G1" s="13"/>
      <c r="H1" s="13"/>
      <c r="I1" s="13"/>
    </row>
    <row r="2" spans="1:9" ht="21.75" customHeight="1" x14ac:dyDescent="0.25">
      <c r="A2" s="12" t="s">
        <v>36</v>
      </c>
      <c r="B2" s="12"/>
      <c r="C2" s="12"/>
      <c r="D2" s="12"/>
      <c r="E2" s="12"/>
      <c r="F2" s="12"/>
      <c r="G2" s="12"/>
      <c r="H2" s="12"/>
      <c r="I2" s="12"/>
    </row>
    <row r="4" spans="1:9" ht="19.5" customHeight="1" x14ac:dyDescent="0.25">
      <c r="A4" s="18" t="s">
        <v>31</v>
      </c>
      <c r="B4" s="18" t="s">
        <v>37</v>
      </c>
      <c r="C4" s="18" t="s">
        <v>22</v>
      </c>
      <c r="D4" s="18" t="s">
        <v>38</v>
      </c>
      <c r="E4" s="18" t="s">
        <v>39</v>
      </c>
      <c r="F4" s="18" t="s">
        <v>40</v>
      </c>
      <c r="G4" s="18" t="s">
        <v>41</v>
      </c>
      <c r="H4" s="18" t="s">
        <v>42</v>
      </c>
      <c r="I4" s="18" t="s">
        <v>43</v>
      </c>
    </row>
    <row r="5" spans="1:9" ht="15" customHeight="1" x14ac:dyDescent="0.25">
      <c r="A5" s="23">
        <v>1001</v>
      </c>
      <c r="B5" s="19" t="s">
        <v>44</v>
      </c>
      <c r="C5" s="19" t="s">
        <v>24</v>
      </c>
      <c r="D5" s="19">
        <v>2021</v>
      </c>
      <c r="E5" s="19" t="s">
        <v>45</v>
      </c>
      <c r="F5" s="19" t="s">
        <v>46</v>
      </c>
      <c r="G5" s="26">
        <v>35</v>
      </c>
      <c r="H5" s="19" t="s">
        <v>47</v>
      </c>
      <c r="I5" s="19" t="s">
        <v>48</v>
      </c>
    </row>
    <row r="6" spans="1:9" ht="15" customHeight="1" x14ac:dyDescent="0.25">
      <c r="A6" s="25">
        <v>1002</v>
      </c>
      <c r="B6" s="21" t="s">
        <v>49</v>
      </c>
      <c r="C6" s="21" t="s">
        <v>25</v>
      </c>
      <c r="D6" s="21">
        <v>2020</v>
      </c>
      <c r="E6" s="21" t="s">
        <v>50</v>
      </c>
      <c r="F6" s="21" t="s">
        <v>46</v>
      </c>
      <c r="G6" s="27">
        <v>55</v>
      </c>
      <c r="H6" s="21" t="s">
        <v>47</v>
      </c>
      <c r="I6" s="21" t="s">
        <v>51</v>
      </c>
    </row>
    <row r="7" spans="1:9" ht="15" customHeight="1" x14ac:dyDescent="0.25">
      <c r="A7" s="23">
        <v>1003</v>
      </c>
      <c r="B7" s="19" t="s">
        <v>52</v>
      </c>
      <c r="C7" s="19" t="s">
        <v>26</v>
      </c>
      <c r="D7" s="19">
        <v>2022</v>
      </c>
      <c r="E7" s="19" t="s">
        <v>53</v>
      </c>
      <c r="F7" s="19" t="s">
        <v>54</v>
      </c>
      <c r="G7" s="26">
        <v>20</v>
      </c>
      <c r="H7" s="19" t="s">
        <v>55</v>
      </c>
      <c r="I7" s="19" t="s">
        <v>56</v>
      </c>
    </row>
    <row r="8" spans="1:9" ht="15" customHeight="1" x14ac:dyDescent="0.25">
      <c r="A8" s="25">
        <v>1004</v>
      </c>
      <c r="B8" s="21" t="s">
        <v>57</v>
      </c>
      <c r="C8" s="21" t="s">
        <v>27</v>
      </c>
      <c r="D8" s="21">
        <v>2019</v>
      </c>
      <c r="E8" s="21" t="s">
        <v>53</v>
      </c>
      <c r="F8" s="21" t="s">
        <v>58</v>
      </c>
      <c r="G8" s="27">
        <v>28</v>
      </c>
      <c r="H8" s="21" t="s">
        <v>55</v>
      </c>
      <c r="I8" s="21" t="s">
        <v>56</v>
      </c>
    </row>
    <row r="9" spans="1:9" ht="15" customHeight="1" x14ac:dyDescent="0.25">
      <c r="A9" s="23">
        <v>1005</v>
      </c>
      <c r="B9" s="19" t="s">
        <v>59</v>
      </c>
      <c r="C9" s="19" t="s">
        <v>24</v>
      </c>
      <c r="D9" s="19">
        <v>2023</v>
      </c>
      <c r="E9" s="19" t="s">
        <v>45</v>
      </c>
      <c r="F9" s="19" t="s">
        <v>54</v>
      </c>
      <c r="G9" s="26">
        <v>35</v>
      </c>
      <c r="H9" s="19" t="s">
        <v>47</v>
      </c>
      <c r="I9" s="19" t="s">
        <v>48</v>
      </c>
    </row>
    <row r="10" spans="1:9" ht="15" customHeight="1" x14ac:dyDescent="0.25">
      <c r="A10" s="25">
        <v>1006</v>
      </c>
      <c r="B10" s="21" t="s">
        <v>60</v>
      </c>
      <c r="C10" s="21" t="s">
        <v>24</v>
      </c>
      <c r="D10" s="21">
        <v>2021</v>
      </c>
      <c r="E10" s="21" t="s">
        <v>45</v>
      </c>
      <c r="F10" s="21" t="s">
        <v>46</v>
      </c>
      <c r="G10" s="27">
        <v>35</v>
      </c>
      <c r="H10" s="21" t="s">
        <v>61</v>
      </c>
      <c r="I10" s="21" t="s">
        <v>48</v>
      </c>
    </row>
    <row r="11" spans="1:9" ht="15" customHeight="1" x14ac:dyDescent="0.25">
      <c r="A11" s="23">
        <v>1007</v>
      </c>
      <c r="B11" s="19" t="s">
        <v>62</v>
      </c>
      <c r="C11" s="19" t="s">
        <v>25</v>
      </c>
      <c r="D11" s="19">
        <v>2022</v>
      </c>
      <c r="E11" s="19" t="s">
        <v>50</v>
      </c>
      <c r="F11" s="19" t="s">
        <v>54</v>
      </c>
      <c r="G11" s="26">
        <v>55</v>
      </c>
      <c r="H11" s="19" t="s">
        <v>47</v>
      </c>
      <c r="I11" s="19" t="s">
        <v>51</v>
      </c>
    </row>
    <row r="12" spans="1:9" ht="15" customHeight="1" x14ac:dyDescent="0.25">
      <c r="A12" s="25">
        <v>1008</v>
      </c>
      <c r="B12" s="21" t="s">
        <v>63</v>
      </c>
      <c r="C12" s="21" t="s">
        <v>26</v>
      </c>
      <c r="D12" s="21">
        <v>2020</v>
      </c>
      <c r="E12" s="21" t="s">
        <v>53</v>
      </c>
      <c r="F12" s="21" t="s">
        <v>46</v>
      </c>
      <c r="G12" s="27">
        <v>20</v>
      </c>
      <c r="H12" s="21" t="s">
        <v>55</v>
      </c>
      <c r="I12" s="21" t="s">
        <v>56</v>
      </c>
    </row>
    <row r="13" spans="1:9" ht="15" customHeight="1" x14ac:dyDescent="0.25">
      <c r="A13" s="23">
        <v>1009</v>
      </c>
      <c r="B13" s="19" t="s">
        <v>64</v>
      </c>
      <c r="C13" s="19" t="s">
        <v>24</v>
      </c>
      <c r="D13" s="19">
        <v>2023</v>
      </c>
      <c r="E13" s="19" t="s">
        <v>45</v>
      </c>
      <c r="F13" s="19" t="s">
        <v>54</v>
      </c>
      <c r="G13" s="26">
        <v>35</v>
      </c>
      <c r="H13" s="19" t="s">
        <v>47</v>
      </c>
      <c r="I13" s="19" t="s">
        <v>48</v>
      </c>
    </row>
    <row r="14" spans="1:9" ht="15" customHeight="1" x14ac:dyDescent="0.25">
      <c r="A14" s="25">
        <v>1010</v>
      </c>
      <c r="B14" s="21" t="s">
        <v>65</v>
      </c>
      <c r="C14" s="21" t="s">
        <v>27</v>
      </c>
      <c r="D14" s="21">
        <v>2018</v>
      </c>
      <c r="E14" s="21" t="s">
        <v>53</v>
      </c>
      <c r="F14" s="21" t="s">
        <v>58</v>
      </c>
      <c r="G14" s="27">
        <v>28</v>
      </c>
      <c r="H14" s="21" t="s">
        <v>55</v>
      </c>
      <c r="I14" s="21" t="s">
        <v>56</v>
      </c>
    </row>
    <row r="15" spans="1:9" ht="15" customHeight="1" x14ac:dyDescent="0.25">
      <c r="A15" s="23">
        <v>1011</v>
      </c>
      <c r="B15" s="19" t="s">
        <v>66</v>
      </c>
      <c r="C15" s="19" t="s">
        <v>24</v>
      </c>
      <c r="D15" s="19">
        <v>2022</v>
      </c>
      <c r="E15" s="19" t="s">
        <v>45</v>
      </c>
      <c r="F15" s="19" t="s">
        <v>54</v>
      </c>
      <c r="G15" s="26">
        <v>35</v>
      </c>
      <c r="H15" s="19" t="s">
        <v>47</v>
      </c>
      <c r="I15" s="19" t="s">
        <v>48</v>
      </c>
    </row>
    <row r="16" spans="1:9" ht="15" customHeight="1" x14ac:dyDescent="0.25">
      <c r="A16" s="25">
        <v>1012</v>
      </c>
      <c r="B16" s="21" t="s">
        <v>67</v>
      </c>
      <c r="C16" s="21" t="s">
        <v>25</v>
      </c>
      <c r="D16" s="21">
        <v>2021</v>
      </c>
      <c r="E16" s="21" t="s">
        <v>50</v>
      </c>
      <c r="F16" s="21" t="s">
        <v>46</v>
      </c>
      <c r="G16" s="27">
        <v>55</v>
      </c>
      <c r="H16" s="21" t="s">
        <v>61</v>
      </c>
      <c r="I16" s="21" t="s">
        <v>51</v>
      </c>
    </row>
    <row r="17" spans="1:9" ht="15" customHeight="1" x14ac:dyDescent="0.25">
      <c r="A17" s="23">
        <v>1013</v>
      </c>
      <c r="B17" s="19" t="s">
        <v>68</v>
      </c>
      <c r="C17" s="19" t="s">
        <v>26</v>
      </c>
      <c r="D17" s="19">
        <v>2023</v>
      </c>
      <c r="E17" s="19" t="s">
        <v>53</v>
      </c>
      <c r="F17" s="19" t="s">
        <v>54</v>
      </c>
      <c r="G17" s="26">
        <v>20</v>
      </c>
      <c r="H17" s="19" t="s">
        <v>55</v>
      </c>
      <c r="I17" s="19" t="s">
        <v>56</v>
      </c>
    </row>
    <row r="18" spans="1:9" ht="15" customHeight="1" x14ac:dyDescent="0.25">
      <c r="A18" s="25">
        <v>1014</v>
      </c>
      <c r="B18" s="21" t="s">
        <v>69</v>
      </c>
      <c r="C18" s="21" t="s">
        <v>24</v>
      </c>
      <c r="D18" s="21">
        <v>2020</v>
      </c>
      <c r="E18" s="21" t="s">
        <v>45</v>
      </c>
      <c r="F18" s="21" t="s">
        <v>46</v>
      </c>
      <c r="G18" s="27">
        <v>35</v>
      </c>
      <c r="H18" s="21" t="s">
        <v>47</v>
      </c>
      <c r="I18" s="21" t="s">
        <v>48</v>
      </c>
    </row>
    <row r="19" spans="1:9" ht="15" customHeight="1" x14ac:dyDescent="0.25">
      <c r="A19" s="23">
        <v>1015</v>
      </c>
      <c r="B19" s="19" t="s">
        <v>70</v>
      </c>
      <c r="C19" s="19" t="s">
        <v>24</v>
      </c>
      <c r="D19" s="19">
        <v>2022</v>
      </c>
      <c r="E19" s="19" t="s">
        <v>45</v>
      </c>
      <c r="F19" s="19" t="s">
        <v>54</v>
      </c>
      <c r="G19" s="26">
        <v>350</v>
      </c>
      <c r="H19" s="19" t="s">
        <v>55</v>
      </c>
      <c r="I19" s="19" t="s">
        <v>71</v>
      </c>
    </row>
    <row r="20" spans="1:9" ht="15" customHeight="1" x14ac:dyDescent="0.25">
      <c r="A20" s="25">
        <v>1016</v>
      </c>
      <c r="B20" s="21" t="s">
        <v>72</v>
      </c>
      <c r="C20" s="21" t="s">
        <v>27</v>
      </c>
      <c r="D20" s="21">
        <v>2019</v>
      </c>
      <c r="E20" s="21" t="s">
        <v>53</v>
      </c>
      <c r="F20" s="21" t="s">
        <v>58</v>
      </c>
      <c r="G20" s="27">
        <v>28</v>
      </c>
      <c r="H20" s="21" t="s">
        <v>55</v>
      </c>
      <c r="I20" s="21" t="s">
        <v>56</v>
      </c>
    </row>
    <row r="21" spans="1:9" ht="15.75" customHeight="1" x14ac:dyDescent="0.25">
      <c r="A21" s="23">
        <v>1017</v>
      </c>
      <c r="B21" s="19" t="s">
        <v>73</v>
      </c>
      <c r="C21" s="19" t="s">
        <v>24</v>
      </c>
      <c r="D21" s="19">
        <v>2023</v>
      </c>
      <c r="E21" s="19" t="s">
        <v>45</v>
      </c>
      <c r="F21" s="19" t="s">
        <v>54</v>
      </c>
      <c r="G21" s="26">
        <v>35</v>
      </c>
      <c r="H21" s="19" t="s">
        <v>47</v>
      </c>
      <c r="I21" s="19" t="s">
        <v>48</v>
      </c>
    </row>
    <row r="22" spans="1:9" ht="15.75" customHeight="1" x14ac:dyDescent="0.25">
      <c r="A22" s="25">
        <v>1018</v>
      </c>
      <c r="B22" s="21" t="s">
        <v>74</v>
      </c>
      <c r="C22" s="21" t="s">
        <v>25</v>
      </c>
      <c r="D22" s="21">
        <v>2021</v>
      </c>
      <c r="E22" s="21" t="s">
        <v>50</v>
      </c>
      <c r="F22" s="21" t="s">
        <v>46</v>
      </c>
      <c r="G22" s="27">
        <v>55</v>
      </c>
      <c r="H22" s="21" t="s">
        <v>47</v>
      </c>
      <c r="I22" s="21" t="s">
        <v>51</v>
      </c>
    </row>
    <row r="23" spans="1:9" ht="15.75" customHeight="1" x14ac:dyDescent="0.25">
      <c r="A23" s="23">
        <v>1019</v>
      </c>
      <c r="B23" s="19" t="s">
        <v>75</v>
      </c>
      <c r="C23" s="19" t="s">
        <v>26</v>
      </c>
      <c r="D23" s="19">
        <v>2022</v>
      </c>
      <c r="E23" s="19" t="s">
        <v>53</v>
      </c>
      <c r="F23" s="19" t="s">
        <v>54</v>
      </c>
      <c r="G23" s="26">
        <v>20</v>
      </c>
      <c r="H23" s="19" t="s">
        <v>55</v>
      </c>
      <c r="I23" s="19" t="s">
        <v>56</v>
      </c>
    </row>
    <row r="24" spans="1:9" ht="15.75" customHeight="1" x14ac:dyDescent="0.25">
      <c r="A24" s="25">
        <v>1020</v>
      </c>
      <c r="B24" s="21" t="s">
        <v>76</v>
      </c>
      <c r="C24" s="21" t="s">
        <v>24</v>
      </c>
      <c r="D24" s="21">
        <v>2020</v>
      </c>
      <c r="E24" s="21" t="s">
        <v>45</v>
      </c>
      <c r="F24" s="21" t="s">
        <v>46</v>
      </c>
      <c r="G24" s="27">
        <v>35</v>
      </c>
      <c r="H24" s="21" t="s">
        <v>61</v>
      </c>
      <c r="I24" s="21" t="s">
        <v>48</v>
      </c>
    </row>
    <row r="25" spans="1:9" ht="15.75" customHeight="1" x14ac:dyDescent="0.25">
      <c r="A25" s="23">
        <v>1021</v>
      </c>
      <c r="B25" s="19" t="s">
        <v>77</v>
      </c>
      <c r="C25" s="19" t="s">
        <v>24</v>
      </c>
      <c r="D25" s="19">
        <v>2023</v>
      </c>
      <c r="E25" s="19" t="s">
        <v>45</v>
      </c>
      <c r="F25" s="19" t="s">
        <v>54</v>
      </c>
      <c r="G25" s="19"/>
      <c r="H25" s="19"/>
      <c r="I25" s="19"/>
    </row>
    <row r="26" spans="1:9" ht="15.75" customHeight="1" x14ac:dyDescent="0.25">
      <c r="A26" s="25">
        <v>1022</v>
      </c>
      <c r="B26" s="21" t="s">
        <v>78</v>
      </c>
      <c r="C26" s="21" t="s">
        <v>27</v>
      </c>
      <c r="D26" s="21">
        <v>2021</v>
      </c>
      <c r="E26" s="21" t="s">
        <v>53</v>
      </c>
      <c r="F26" s="21" t="s">
        <v>46</v>
      </c>
      <c r="G26" s="21"/>
      <c r="H26" s="21"/>
      <c r="I26" s="21"/>
    </row>
    <row r="27" spans="1:9" ht="15.75" customHeight="1" x14ac:dyDescent="0.25">
      <c r="A27" s="23">
        <v>1023</v>
      </c>
      <c r="B27" s="19" t="s">
        <v>79</v>
      </c>
      <c r="C27" s="19" t="s">
        <v>24</v>
      </c>
      <c r="D27" s="19">
        <v>2022</v>
      </c>
      <c r="E27" s="19" t="s">
        <v>45</v>
      </c>
      <c r="F27" s="19" t="s">
        <v>54</v>
      </c>
      <c r="G27" s="19"/>
      <c r="H27" s="19"/>
      <c r="I27" s="19"/>
    </row>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I27" xr:uid="{00000000-0009-0000-0000-000003000000}"/>
  <mergeCells count="2">
    <mergeCell ref="A1:I1"/>
    <mergeCell ref="A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1000"/>
  <sheetViews>
    <sheetView showGridLines="0" zoomScaleNormal="100" workbookViewId="0">
      <selection activeCell="F7" sqref="F7:F9"/>
    </sheetView>
  </sheetViews>
  <sheetFormatPr defaultColWidth="14.42578125" defaultRowHeight="15" x14ac:dyDescent="0.25"/>
  <cols>
    <col min="1" max="1" width="3" customWidth="1"/>
    <col min="2" max="2" width="32" customWidth="1"/>
    <col min="3" max="3" width="14" customWidth="1"/>
    <col min="4" max="4" width="30"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80</v>
      </c>
      <c r="B1" s="13"/>
      <c r="C1" s="13"/>
      <c r="D1" s="13"/>
      <c r="E1" s="13"/>
      <c r="F1" s="13"/>
      <c r="G1" s="13"/>
      <c r="H1" s="13"/>
    </row>
    <row r="2" spans="1:10" ht="21.75" customHeight="1" x14ac:dyDescent="0.25">
      <c r="A2" s="12" t="s">
        <v>81</v>
      </c>
      <c r="B2" s="12"/>
      <c r="C2" s="12"/>
      <c r="D2" s="12"/>
      <c r="E2" s="12"/>
      <c r="F2" s="12"/>
      <c r="G2" s="12"/>
      <c r="H2" s="12"/>
    </row>
    <row r="4" spans="1:10" ht="33.75" customHeight="1" x14ac:dyDescent="0.25">
      <c r="A4" s="11" t="s">
        <v>82</v>
      </c>
      <c r="B4" s="11"/>
      <c r="C4" s="11"/>
      <c r="D4" s="11"/>
      <c r="E4" s="11"/>
      <c r="F4" s="11"/>
      <c r="G4" s="11"/>
      <c r="H4" s="11"/>
    </row>
    <row r="6" spans="1:10" ht="18" customHeight="1" x14ac:dyDescent="0.25">
      <c r="B6" s="3" t="s">
        <v>83</v>
      </c>
      <c r="C6" s="3"/>
      <c r="D6" s="2" t="s">
        <v>84</v>
      </c>
      <c r="E6" s="2"/>
      <c r="F6" s="28" t="s">
        <v>85</v>
      </c>
      <c r="G6" s="28" t="s">
        <v>86</v>
      </c>
      <c r="J6" s="29" t="s">
        <v>87</v>
      </c>
    </row>
    <row r="7" spans="1:10" ht="30" customHeight="1" x14ac:dyDescent="0.25">
      <c r="B7" s="5" t="s">
        <v>88</v>
      </c>
      <c r="C7" s="5"/>
      <c r="D7" s="1" t="s">
        <v>89</v>
      </c>
      <c r="E7" s="1"/>
      <c r="F7" s="36"/>
      <c r="G7" s="30" t="str">
        <f>IF(F7="","",IFERROR(IF(ABS(F7-(35))&lt;0.01,"✓  Correct","✗  Try again"),"✗  Try again"))</f>
        <v/>
      </c>
      <c r="J7" s="33" t="s">
        <v>90</v>
      </c>
    </row>
    <row r="8" spans="1:10" ht="30" customHeight="1" x14ac:dyDescent="0.25">
      <c r="B8" s="5" t="s">
        <v>91</v>
      </c>
      <c r="C8" s="5"/>
      <c r="D8" s="1" t="s">
        <v>92</v>
      </c>
      <c r="E8" s="1"/>
      <c r="F8" s="36"/>
      <c r="G8" s="30" t="str">
        <f>IF(F8="","",IFERROR(IF(ABS(F8-(55))&lt;0.01,"✓  Correct","✗  Try again"),"✗  Try again"))</f>
        <v/>
      </c>
      <c r="J8" s="33"/>
    </row>
    <row r="9" spans="1:10" ht="30" customHeight="1" x14ac:dyDescent="0.25">
      <c r="B9" s="5" t="s">
        <v>93</v>
      </c>
      <c r="C9" s="5"/>
      <c r="D9" s="1" t="s">
        <v>94</v>
      </c>
      <c r="E9" s="1"/>
      <c r="F9" s="36"/>
      <c r="G9" s="30" t="str">
        <f>IF(F9="","",IFERROR(IF(ABS(F9-(28))&lt;0.01,"✓  Correct","✗  Try again"),"✗  Try again"))</f>
        <v/>
      </c>
      <c r="J9" s="33"/>
    </row>
    <row r="11" spans="1:10" ht="30" customHeight="1" x14ac:dyDescent="0.25">
      <c r="A11" s="34" t="s">
        <v>95</v>
      </c>
      <c r="B11" s="34"/>
      <c r="C11" s="34"/>
      <c r="D11" s="34"/>
      <c r="E11" s="34"/>
      <c r="F11" s="34"/>
      <c r="G11" s="34"/>
      <c r="H11" s="3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A11:H11"/>
    <mergeCell ref="B7:C7"/>
    <mergeCell ref="D7:E7"/>
    <mergeCell ref="J7:J9"/>
    <mergeCell ref="B8:C8"/>
    <mergeCell ref="D8:E8"/>
    <mergeCell ref="B9:C9"/>
    <mergeCell ref="D9:E9"/>
    <mergeCell ref="A1:H1"/>
    <mergeCell ref="A2:H2"/>
    <mergeCell ref="A4:H4"/>
    <mergeCell ref="B6:C6"/>
    <mergeCell ref="D6:E6"/>
  </mergeCells>
  <conditionalFormatting sqref="G7:G9">
    <cfRule type="expression" dxfId="7" priority="2">
      <formula>ISNUMBER(SEARCH("Correct",G7))</formula>
    </cfRule>
    <cfRule type="expression" dxfId="6" priority="3">
      <formula>ISNUMBER(SEARCH("Try",G7))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1000"/>
  <sheetViews>
    <sheetView showGridLines="0" zoomScaleNormal="100" workbookViewId="0">
      <selection activeCell="F7" sqref="F7:F9"/>
    </sheetView>
  </sheetViews>
  <sheetFormatPr defaultColWidth="14.42578125" defaultRowHeight="15" x14ac:dyDescent="0.25"/>
  <cols>
    <col min="1" max="1" width="3" customWidth="1"/>
    <col min="2" max="2" width="32" customWidth="1"/>
    <col min="3" max="3" width="14" customWidth="1"/>
    <col min="4" max="4" width="32"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96</v>
      </c>
      <c r="B1" s="13"/>
      <c r="C1" s="13"/>
      <c r="D1" s="13"/>
      <c r="E1" s="13"/>
      <c r="F1" s="13"/>
      <c r="G1" s="13"/>
      <c r="H1" s="13"/>
    </row>
    <row r="2" spans="1:10" ht="21.75" customHeight="1" x14ac:dyDescent="0.25">
      <c r="A2" s="12" t="s">
        <v>97</v>
      </c>
      <c r="B2" s="12"/>
      <c r="C2" s="12"/>
      <c r="D2" s="12"/>
      <c r="E2" s="12"/>
      <c r="F2" s="12"/>
      <c r="G2" s="12"/>
      <c r="H2" s="12"/>
    </row>
    <row r="4" spans="1:10" ht="33.75" customHeight="1" x14ac:dyDescent="0.25">
      <c r="A4" s="11" t="s">
        <v>98</v>
      </c>
      <c r="B4" s="11"/>
      <c r="C4" s="11"/>
      <c r="D4" s="11"/>
      <c r="E4" s="11"/>
      <c r="F4" s="11"/>
      <c r="G4" s="11"/>
      <c r="H4" s="11"/>
    </row>
    <row r="6" spans="1:10" ht="18" customHeight="1" x14ac:dyDescent="0.25">
      <c r="B6" s="3" t="s">
        <v>83</v>
      </c>
      <c r="C6" s="3"/>
      <c r="D6" s="2" t="s">
        <v>84</v>
      </c>
      <c r="E6" s="2"/>
      <c r="F6" s="28" t="s">
        <v>85</v>
      </c>
      <c r="G6" s="28" t="s">
        <v>86</v>
      </c>
      <c r="J6" s="29" t="s">
        <v>87</v>
      </c>
    </row>
    <row r="7" spans="1:10" ht="30" customHeight="1" x14ac:dyDescent="0.25">
      <c r="B7" s="5" t="s">
        <v>99</v>
      </c>
      <c r="C7" s="5"/>
      <c r="D7" s="1" t="s">
        <v>100</v>
      </c>
      <c r="E7" s="1"/>
      <c r="F7" s="36"/>
      <c r="G7" s="30" t="str">
        <f>IF(F7="","",IFERROR(IF(ABS(F7-(1014))&lt;0.01,"✓  Correct","✗  Try again"),"✗  Try again"))</f>
        <v/>
      </c>
      <c r="J7" s="33" t="s">
        <v>101</v>
      </c>
    </row>
    <row r="8" spans="1:10" ht="30" customHeight="1" x14ac:dyDescent="0.25">
      <c r="B8" s="5" t="s">
        <v>102</v>
      </c>
      <c r="C8" s="5"/>
      <c r="D8" s="1" t="s">
        <v>103</v>
      </c>
      <c r="E8" s="1"/>
      <c r="F8" s="36"/>
      <c r="G8" s="30" t="str">
        <f>IF(F8="","",IFERROR(IF(ABS(F8-(699))&lt;0.01,"✓  Correct","✗  Try again"),"✗  Try again"))</f>
        <v/>
      </c>
      <c r="J8" s="33"/>
    </row>
    <row r="9" spans="1:10" ht="30" customHeight="1" x14ac:dyDescent="0.25">
      <c r="B9" s="5" t="s">
        <v>104</v>
      </c>
      <c r="C9" s="5"/>
      <c r="D9" s="1" t="s">
        <v>105</v>
      </c>
      <c r="E9" s="1"/>
      <c r="F9" s="36"/>
      <c r="G9" s="30" t="str">
        <f>IF(F9="","",IFERROR(IF(ABS(F9-(315))&lt;0.01,"✓  Correct","✗  Try again"),"✗  Try again"))</f>
        <v/>
      </c>
      <c r="J9" s="33"/>
    </row>
    <row r="11" spans="1:10" ht="30" customHeight="1" x14ac:dyDescent="0.25">
      <c r="A11" s="34" t="s">
        <v>106</v>
      </c>
      <c r="B11" s="34"/>
      <c r="C11" s="34"/>
      <c r="D11" s="34"/>
      <c r="E11" s="34"/>
      <c r="F11" s="34"/>
      <c r="G11" s="34"/>
      <c r="H11" s="3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A11:H11"/>
    <mergeCell ref="B7:C7"/>
    <mergeCell ref="D7:E7"/>
    <mergeCell ref="J7:J9"/>
    <mergeCell ref="B8:C8"/>
    <mergeCell ref="D8:E8"/>
    <mergeCell ref="B9:C9"/>
    <mergeCell ref="D9:E9"/>
    <mergeCell ref="A1:H1"/>
    <mergeCell ref="A2:H2"/>
    <mergeCell ref="A4:H4"/>
    <mergeCell ref="B6:C6"/>
    <mergeCell ref="D6:E6"/>
  </mergeCells>
  <conditionalFormatting sqref="G7:G9">
    <cfRule type="expression" dxfId="5" priority="2">
      <formula>ISNUMBER(SEARCH("Correct",G7))</formula>
    </cfRule>
    <cfRule type="expression" dxfId="4" priority="3">
      <formula>ISNUMBER(SEARCH("Try",G7))</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J1000"/>
  <sheetViews>
    <sheetView showGridLines="0" zoomScaleNormal="100" workbookViewId="0">
      <selection activeCell="F7" sqref="F7:F9"/>
    </sheetView>
  </sheetViews>
  <sheetFormatPr defaultColWidth="14.42578125" defaultRowHeight="15" x14ac:dyDescent="0.25"/>
  <cols>
    <col min="1" max="1" width="3" customWidth="1"/>
    <col min="2" max="2" width="32" customWidth="1"/>
    <col min="3" max="3" width="14" customWidth="1"/>
    <col min="4" max="4" width="3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107</v>
      </c>
      <c r="B1" s="13"/>
      <c r="C1" s="13"/>
      <c r="D1" s="13"/>
      <c r="E1" s="13"/>
      <c r="F1" s="13"/>
      <c r="G1" s="13"/>
      <c r="H1" s="13"/>
    </row>
    <row r="2" spans="1:10" ht="21.75" customHeight="1" x14ac:dyDescent="0.25">
      <c r="A2" s="12" t="s">
        <v>108</v>
      </c>
      <c r="B2" s="12"/>
      <c r="C2" s="12"/>
      <c r="D2" s="12"/>
      <c r="E2" s="12"/>
      <c r="F2" s="12"/>
      <c r="G2" s="12"/>
      <c r="H2" s="12"/>
    </row>
    <row r="4" spans="1:10" ht="39.75" customHeight="1" x14ac:dyDescent="0.25">
      <c r="A4" s="11" t="s">
        <v>109</v>
      </c>
      <c r="B4" s="11"/>
      <c r="C4" s="11"/>
      <c r="D4" s="11"/>
      <c r="E4" s="11"/>
      <c r="F4" s="11"/>
      <c r="G4" s="11"/>
      <c r="H4" s="11"/>
    </row>
    <row r="6" spans="1:10" ht="18" customHeight="1" x14ac:dyDescent="0.25">
      <c r="B6" s="3" t="s">
        <v>83</v>
      </c>
      <c r="C6" s="3"/>
      <c r="D6" s="2" t="s">
        <v>84</v>
      </c>
      <c r="E6" s="2"/>
      <c r="F6" s="28" t="s">
        <v>85</v>
      </c>
      <c r="G6" s="28" t="s">
        <v>86</v>
      </c>
      <c r="J6" s="29" t="s">
        <v>87</v>
      </c>
    </row>
    <row r="7" spans="1:10" ht="30" customHeight="1" x14ac:dyDescent="0.25">
      <c r="B7" s="5" t="s">
        <v>110</v>
      </c>
      <c r="C7" s="5"/>
      <c r="D7" s="1" t="s">
        <v>111</v>
      </c>
      <c r="E7" s="1"/>
      <c r="F7" s="36"/>
      <c r="G7" s="30" t="str">
        <f>IF(F7="","",IF(ISNUMBER(SEARCH("CHECK",F7)),"✓  Correct","✗  Try again"))</f>
        <v/>
      </c>
      <c r="J7" s="33" t="s">
        <v>112</v>
      </c>
    </row>
    <row r="8" spans="1:10" ht="30" customHeight="1" x14ac:dyDescent="0.25">
      <c r="B8" s="5" t="s">
        <v>113</v>
      </c>
      <c r="C8" s="5"/>
      <c r="D8" s="1" t="s">
        <v>114</v>
      </c>
      <c r="E8" s="1"/>
      <c r="F8" s="36"/>
      <c r="G8" s="30" t="str">
        <f>IF(F8="","",IFERROR(IF(ABS(F8-(1))&lt;0.01,"✓  Correct","✗  Try again"),"✗  Try again"))</f>
        <v/>
      </c>
      <c r="J8" s="33"/>
    </row>
    <row r="9" spans="1:10" ht="30" customHeight="1" x14ac:dyDescent="0.25">
      <c r="B9" s="5" t="s">
        <v>115</v>
      </c>
      <c r="C9" s="5"/>
      <c r="D9" s="1" t="s">
        <v>116</v>
      </c>
      <c r="E9" s="1"/>
      <c r="F9" s="36"/>
      <c r="G9" s="30" t="str">
        <f>IF(F9="","",IFERROR(IF(ABS(F9-(1015))&lt;0.01,"✓  Correct","✗  Try again"),"✗  Try again"))</f>
        <v/>
      </c>
      <c r="J9" s="33"/>
    </row>
    <row r="11" spans="1:10" ht="15" customHeight="1" x14ac:dyDescent="0.25">
      <c r="B11" s="7" t="s">
        <v>117</v>
      </c>
      <c r="C11" s="7"/>
      <c r="D11" s="7"/>
      <c r="E11" s="7"/>
      <c r="F11" s="7"/>
      <c r="G11" s="7"/>
      <c r="H11" s="7"/>
    </row>
    <row r="12" spans="1:10" ht="15" customHeight="1" x14ac:dyDescent="0.25">
      <c r="B12" s="7"/>
      <c r="C12" s="7"/>
      <c r="D12" s="7"/>
      <c r="E12" s="7"/>
      <c r="F12" s="7"/>
      <c r="G12" s="7"/>
      <c r="H12" s="7"/>
    </row>
    <row r="13" spans="1:10" ht="15" customHeight="1" x14ac:dyDescent="0.25">
      <c r="B13" s="7"/>
      <c r="C13" s="7"/>
      <c r="D13" s="7"/>
      <c r="E13" s="7"/>
      <c r="F13" s="7"/>
      <c r="G13" s="7"/>
      <c r="H13" s="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B11:H13"/>
    <mergeCell ref="B7:C7"/>
    <mergeCell ref="D7:E7"/>
    <mergeCell ref="J7:J9"/>
    <mergeCell ref="B8:C8"/>
    <mergeCell ref="D8:E8"/>
    <mergeCell ref="B9:C9"/>
    <mergeCell ref="D9:E9"/>
    <mergeCell ref="A1:H1"/>
    <mergeCell ref="A2:H2"/>
    <mergeCell ref="A4:H4"/>
    <mergeCell ref="B6:C6"/>
    <mergeCell ref="D6:E6"/>
  </mergeCells>
  <conditionalFormatting sqref="G7:G9">
    <cfRule type="expression" dxfId="3" priority="2">
      <formula>ISNUMBER(SEARCH("Correct",G7))</formula>
    </cfRule>
    <cfRule type="expression" dxfId="2" priority="3">
      <formula>ISNUMBER(SEARCH("Try",G7))</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J1000"/>
  <sheetViews>
    <sheetView showGridLines="0" zoomScaleNormal="100" workbookViewId="0">
      <selection activeCell="F7" sqref="F7:F8"/>
    </sheetView>
  </sheetViews>
  <sheetFormatPr defaultColWidth="14.42578125" defaultRowHeight="15" x14ac:dyDescent="0.25"/>
  <cols>
    <col min="1" max="1" width="3" customWidth="1"/>
    <col min="2" max="2" width="32" customWidth="1"/>
    <col min="3" max="3" width="14" customWidth="1"/>
    <col min="4" max="4" width="3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118</v>
      </c>
      <c r="B1" s="13"/>
      <c r="C1" s="13"/>
      <c r="D1" s="13"/>
      <c r="E1" s="13"/>
      <c r="F1" s="13"/>
      <c r="G1" s="13"/>
      <c r="H1" s="13"/>
    </row>
    <row r="2" spans="1:10" ht="21.75" customHeight="1" x14ac:dyDescent="0.25">
      <c r="A2" s="12" t="s">
        <v>119</v>
      </c>
      <c r="B2" s="12"/>
      <c r="C2" s="12"/>
      <c r="D2" s="12"/>
      <c r="E2" s="12"/>
      <c r="F2" s="12"/>
      <c r="G2" s="12"/>
      <c r="H2" s="12"/>
    </row>
    <row r="4" spans="1:10" ht="33.75" customHeight="1" x14ac:dyDescent="0.25">
      <c r="A4" s="11" t="s">
        <v>120</v>
      </c>
      <c r="B4" s="11"/>
      <c r="C4" s="11"/>
      <c r="D4" s="11"/>
      <c r="E4" s="11"/>
      <c r="F4" s="11"/>
      <c r="G4" s="11"/>
      <c r="H4" s="11"/>
    </row>
    <row r="6" spans="1:10" ht="18" customHeight="1" x14ac:dyDescent="0.25">
      <c r="B6" s="3" t="s">
        <v>83</v>
      </c>
      <c r="C6" s="3"/>
      <c r="D6" s="2" t="s">
        <v>84</v>
      </c>
      <c r="E6" s="2"/>
      <c r="F6" s="28" t="s">
        <v>85</v>
      </c>
      <c r="G6" s="28" t="s">
        <v>86</v>
      </c>
      <c r="J6" s="29" t="s">
        <v>87</v>
      </c>
    </row>
    <row r="7" spans="1:10" ht="30" customHeight="1" x14ac:dyDescent="0.25">
      <c r="B7" s="5" t="s">
        <v>121</v>
      </c>
      <c r="C7" s="5"/>
      <c r="D7" s="1" t="s">
        <v>122</v>
      </c>
      <c r="E7" s="1"/>
      <c r="F7" s="36"/>
      <c r="G7" s="30" t="str">
        <f>IF(F7="","",IFERROR(IF(ABS(F7-(3))&lt;0.01,"✓  Correct","✗  Try again"),"✗  Try again"))</f>
        <v/>
      </c>
      <c r="J7" s="33" t="s">
        <v>123</v>
      </c>
    </row>
    <row r="8" spans="1:10" ht="30" customHeight="1" x14ac:dyDescent="0.25">
      <c r="B8" s="5" t="s">
        <v>124</v>
      </c>
      <c r="C8" s="5"/>
      <c r="D8" s="1" t="s">
        <v>125</v>
      </c>
      <c r="E8" s="1"/>
      <c r="F8" s="36"/>
      <c r="G8" s="30" t="str">
        <f>IF(F8="","",IFERROR(IF(ABS(F8-(1))&lt;0.01,"✓  Correct","✗  Try again"),"✗  Try again"))</f>
        <v/>
      </c>
      <c r="J8" s="33"/>
    </row>
    <row r="10" spans="1:10" ht="39.75" customHeight="1" x14ac:dyDescent="0.25">
      <c r="A10" s="34" t="s">
        <v>126</v>
      </c>
      <c r="B10" s="34"/>
      <c r="C10" s="34"/>
      <c r="D10" s="34"/>
      <c r="E10" s="34"/>
      <c r="F10" s="34"/>
      <c r="G10" s="34"/>
      <c r="H10" s="3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1">
    <mergeCell ref="A10:H10"/>
    <mergeCell ref="B7:C7"/>
    <mergeCell ref="D7:E7"/>
    <mergeCell ref="J7:J8"/>
    <mergeCell ref="B8:C8"/>
    <mergeCell ref="D8:E8"/>
    <mergeCell ref="A1:H1"/>
    <mergeCell ref="A2:H2"/>
    <mergeCell ref="A4:H4"/>
    <mergeCell ref="B6:C6"/>
    <mergeCell ref="D6:E6"/>
  </mergeCells>
  <conditionalFormatting sqref="G7:G8">
    <cfRule type="expression" dxfId="1" priority="2">
      <formula>ISNUMBER(SEARCH("Correct",G7))</formula>
    </cfRule>
    <cfRule type="expression" dxfId="0" priority="3">
      <formula>ISNUMBER(SEARCH("Try",G7))</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6" customWidth="1"/>
    <col min="3" max="3" width="70" customWidth="1"/>
    <col min="4" max="8" width="8.7109375" customWidth="1"/>
  </cols>
  <sheetData>
    <row r="1" spans="1:3" ht="30" customHeight="1" x14ac:dyDescent="0.25">
      <c r="A1" s="13" t="s">
        <v>127</v>
      </c>
      <c r="B1" s="13"/>
      <c r="C1" s="13"/>
    </row>
    <row r="2" spans="1:3" ht="21.75" customHeight="1" x14ac:dyDescent="0.25">
      <c r="A2" s="12" t="s">
        <v>128</v>
      </c>
      <c r="B2" s="12"/>
      <c r="C2" s="12"/>
    </row>
    <row r="4" spans="1:3" ht="43.5" customHeight="1" x14ac:dyDescent="0.25">
      <c r="B4" s="31" t="s">
        <v>129</v>
      </c>
      <c r="C4" s="32" t="s">
        <v>130</v>
      </c>
    </row>
    <row r="5" spans="1:3" ht="43.5" customHeight="1" x14ac:dyDescent="0.25">
      <c r="B5" s="31" t="s">
        <v>131</v>
      </c>
      <c r="C5" s="32" t="s">
        <v>132</v>
      </c>
    </row>
    <row r="6" spans="1:3" ht="43.5" customHeight="1" x14ac:dyDescent="0.25">
      <c r="B6" s="31" t="s">
        <v>133</v>
      </c>
      <c r="C6" s="32" t="s">
        <v>134</v>
      </c>
    </row>
    <row r="7" spans="1:3" ht="43.5" customHeight="1" x14ac:dyDescent="0.25">
      <c r="B7" s="31" t="s">
        <v>135</v>
      </c>
      <c r="C7" s="32" t="s">
        <v>136</v>
      </c>
    </row>
    <row r="8" spans="1:3" ht="43.5" customHeight="1" x14ac:dyDescent="0.25">
      <c r="B8" s="31" t="s">
        <v>137</v>
      </c>
      <c r="C8" s="32" t="s">
        <v>138</v>
      </c>
    </row>
    <row r="9" spans="1:3" ht="43.5" customHeight="1" x14ac:dyDescent="0.25">
      <c r="B9" s="31" t="s">
        <v>139</v>
      </c>
      <c r="C9" s="32" t="s">
        <v>140</v>
      </c>
    </row>
    <row r="10" spans="1:3" ht="43.5" customHeight="1" x14ac:dyDescent="0.25">
      <c r="B10" s="31" t="s">
        <v>141</v>
      </c>
      <c r="C10" s="32" t="s">
        <v>142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E1000"/>
  <sheetViews>
    <sheetView showGridLines="0" zoomScaleNormal="100" workbookViewId="0">
      <selection activeCell="D7" sqref="D7:E7"/>
    </sheetView>
  </sheetViews>
  <sheetFormatPr defaultColWidth="14.42578125" defaultRowHeight="15" x14ac:dyDescent="0.25"/>
  <cols>
    <col min="1" max="1" width="3" customWidth="1"/>
    <col min="2" max="2" width="54" customWidth="1"/>
    <col min="3" max="4" width="16" customWidth="1"/>
    <col min="5" max="5" width="36" customWidth="1"/>
    <col min="6" max="8" width="8.7109375" customWidth="1"/>
  </cols>
  <sheetData>
    <row r="1" spans="1:5" ht="30" customHeight="1" x14ac:dyDescent="0.25">
      <c r="A1" s="13" t="s">
        <v>143</v>
      </c>
      <c r="B1" s="13"/>
      <c r="C1" s="13"/>
      <c r="D1" s="13"/>
      <c r="E1" s="13"/>
    </row>
    <row r="2" spans="1:5" ht="21.75" customHeight="1" x14ac:dyDescent="0.25">
      <c r="A2" s="12" t="s">
        <v>144</v>
      </c>
      <c r="B2" s="12"/>
      <c r="C2" s="12"/>
      <c r="D2" s="12"/>
      <c r="E2" s="12"/>
    </row>
    <row r="4" spans="1:5" ht="27.75" customHeight="1" x14ac:dyDescent="0.25">
      <c r="A4" s="11" t="s">
        <v>145</v>
      </c>
      <c r="B4" s="11"/>
      <c r="C4" s="11"/>
      <c r="D4" s="11"/>
      <c r="E4" s="11"/>
    </row>
    <row r="6" spans="1:5" ht="24" customHeight="1" x14ac:dyDescent="0.25">
      <c r="A6" s="10" t="s">
        <v>146</v>
      </c>
      <c r="B6" s="10"/>
      <c r="C6" s="10"/>
      <c r="D6" s="10"/>
      <c r="E6" s="10"/>
    </row>
    <row r="7" spans="1:5" ht="45.75" customHeight="1" x14ac:dyDescent="0.25">
      <c r="B7" s="5" t="s">
        <v>147</v>
      </c>
      <c r="C7" s="5"/>
      <c r="D7" s="37"/>
      <c r="E7" s="37"/>
    </row>
    <row r="8" spans="1:5" ht="45.75" customHeight="1" x14ac:dyDescent="0.25">
      <c r="B8" s="5" t="s">
        <v>148</v>
      </c>
      <c r="C8" s="5"/>
      <c r="D8" s="37"/>
      <c r="E8" s="37"/>
    </row>
    <row r="9" spans="1:5" ht="45.75" customHeight="1" x14ac:dyDescent="0.25">
      <c r="B9" s="5" t="s">
        <v>149</v>
      </c>
      <c r="C9" s="5"/>
      <c r="D9" s="37"/>
      <c r="E9" s="37"/>
    </row>
    <row r="10" spans="1:5" ht="45.75" customHeight="1" x14ac:dyDescent="0.25">
      <c r="B10" s="5" t="s">
        <v>150</v>
      </c>
      <c r="C10" s="5"/>
      <c r="D10" s="37"/>
      <c r="E10" s="3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2">
    <mergeCell ref="B8:C8"/>
    <mergeCell ref="D8:E8"/>
    <mergeCell ref="B9:C9"/>
    <mergeCell ref="D9:E9"/>
    <mergeCell ref="B10:C10"/>
    <mergeCell ref="D10:E10"/>
    <mergeCell ref="A1:E1"/>
    <mergeCell ref="A2:E2"/>
    <mergeCell ref="A4:E4"/>
    <mergeCell ref="A6:E6"/>
    <mergeCell ref="B7:C7"/>
    <mergeCell ref="D7:E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sheetPr>
  <dimension ref="A1:V1000"/>
  <sheetViews>
    <sheetView showGridLines="0" tabSelected="1" zoomScaleNormal="100" workbookViewId="0">
      <selection activeCell="C6" sqref="C6"/>
    </sheetView>
  </sheetViews>
  <sheetFormatPr defaultColWidth="14.42578125" defaultRowHeight="15" x14ac:dyDescent="0.25"/>
  <cols>
    <col min="1" max="1" width="3" customWidth="1"/>
    <col min="2" max="2" width="50" customWidth="1"/>
    <col min="3" max="5" width="16" customWidth="1"/>
    <col min="6" max="6" width="33.42578125" customWidth="1"/>
    <col min="7" max="8" width="8.7109375" customWidth="1"/>
    <col min="10" max="22" width="3.42578125" customWidth="1"/>
  </cols>
  <sheetData>
    <row r="1" spans="1:22" ht="30" customHeight="1" x14ac:dyDescent="0.25">
      <c r="A1" s="13" t="s">
        <v>151</v>
      </c>
      <c r="B1" s="13"/>
      <c r="C1" s="13"/>
      <c r="D1" s="13"/>
      <c r="E1" s="13"/>
      <c r="F1" s="13"/>
      <c r="J1" s="14" t="s">
        <v>1</v>
      </c>
    </row>
    <row r="2" spans="1:22" ht="21.75" customHeight="1" x14ac:dyDescent="0.25">
      <c r="A2" s="12" t="s">
        <v>152</v>
      </c>
      <c r="B2" s="12"/>
      <c r="C2" s="12"/>
      <c r="D2" s="12"/>
      <c r="E2" s="12"/>
      <c r="F2" s="12"/>
      <c r="J2" s="15">
        <v>1</v>
      </c>
      <c r="K2" s="15">
        <v>2</v>
      </c>
      <c r="L2" s="15">
        <v>3</v>
      </c>
      <c r="M2" s="15">
        <v>4</v>
      </c>
      <c r="N2" s="15">
        <v>5</v>
      </c>
      <c r="O2" s="15">
        <v>6</v>
      </c>
      <c r="P2" s="15">
        <v>7</v>
      </c>
      <c r="Q2" s="15">
        <v>8</v>
      </c>
      <c r="R2" s="15">
        <v>9</v>
      </c>
      <c r="S2" s="15">
        <v>10</v>
      </c>
      <c r="T2" s="15">
        <v>11</v>
      </c>
      <c r="U2" s="15">
        <v>12</v>
      </c>
      <c r="V2" s="16">
        <v>13</v>
      </c>
    </row>
    <row r="4" spans="1:22" ht="24" customHeight="1" x14ac:dyDescent="0.25">
      <c r="A4" s="10" t="s">
        <v>153</v>
      </c>
      <c r="B4" s="10"/>
      <c r="C4" s="10"/>
      <c r="D4" s="10"/>
      <c r="E4" s="10"/>
      <c r="F4" s="10"/>
      <c r="G4" s="10"/>
      <c r="H4" s="10"/>
    </row>
    <row r="5" spans="1:22" ht="18" customHeight="1" x14ac:dyDescent="0.25">
      <c r="A5" s="11" t="s">
        <v>154</v>
      </c>
      <c r="B5" s="11"/>
      <c r="C5" s="11"/>
      <c r="D5" s="11"/>
      <c r="E5" s="11"/>
      <c r="F5" s="11"/>
      <c r="G5" s="11"/>
      <c r="H5" s="11"/>
    </row>
    <row r="6" spans="1:22" ht="24" customHeight="1" x14ac:dyDescent="0.25">
      <c r="C6" s="36"/>
      <c r="D6" s="5" t="s">
        <v>155</v>
      </c>
      <c r="E6" s="5"/>
      <c r="F6" s="5"/>
    </row>
    <row r="7" spans="1:22" ht="24" customHeight="1" x14ac:dyDescent="0.25">
      <c r="C7" s="36"/>
      <c r="D7" s="5" t="s">
        <v>156</v>
      </c>
      <c r="E7" s="5"/>
      <c r="F7" s="5"/>
    </row>
    <row r="8" spans="1:22" ht="24" customHeight="1" x14ac:dyDescent="0.25">
      <c r="C8" s="36"/>
      <c r="D8" s="5" t="s">
        <v>157</v>
      </c>
      <c r="E8" s="5"/>
      <c r="F8" s="5"/>
    </row>
    <row r="9" spans="1:22" ht="24" customHeight="1" x14ac:dyDescent="0.25">
      <c r="C9" s="36"/>
      <c r="D9" s="5" t="s">
        <v>158</v>
      </c>
      <c r="E9" s="5"/>
      <c r="F9" s="5"/>
    </row>
    <row r="10" spans="1:22" ht="24" customHeight="1" x14ac:dyDescent="0.25">
      <c r="C10" s="36"/>
      <c r="D10" s="5" t="s">
        <v>159</v>
      </c>
      <c r="E10" s="5"/>
      <c r="F10" s="5"/>
    </row>
    <row r="12" spans="1:22" ht="24" customHeight="1" x14ac:dyDescent="0.25">
      <c r="A12" s="10" t="s">
        <v>160</v>
      </c>
      <c r="B12" s="10"/>
      <c r="C12" s="10"/>
      <c r="D12" s="10"/>
      <c r="E12" s="10"/>
      <c r="F12" s="10"/>
      <c r="G12" s="10"/>
      <c r="H12" s="10"/>
    </row>
    <row r="13" spans="1:22" ht="18" customHeight="1" x14ac:dyDescent="0.25">
      <c r="A13" s="11" t="s">
        <v>161</v>
      </c>
      <c r="B13" s="11"/>
      <c r="C13" s="11"/>
      <c r="D13" s="11"/>
      <c r="E13" s="11"/>
      <c r="F13" s="11"/>
      <c r="G13" s="11"/>
      <c r="H13" s="11"/>
    </row>
    <row r="14" spans="1:22" ht="18" customHeight="1" x14ac:dyDescent="0.25">
      <c r="B14" s="6" t="s">
        <v>14</v>
      </c>
      <c r="C14" s="6"/>
      <c r="D14" s="6"/>
      <c r="E14" s="17" t="s">
        <v>162</v>
      </c>
    </row>
    <row r="15" spans="1:22" ht="21.75" customHeight="1" x14ac:dyDescent="0.25">
      <c r="B15" s="5" t="s">
        <v>16</v>
      </c>
      <c r="C15" s="5"/>
      <c r="D15" s="5"/>
      <c r="E15" s="36"/>
    </row>
    <row r="16" spans="1:22" ht="21.75" customHeight="1" x14ac:dyDescent="0.25">
      <c r="B16" s="5" t="s">
        <v>17</v>
      </c>
      <c r="C16" s="5"/>
      <c r="D16" s="5"/>
      <c r="E16" s="36"/>
    </row>
    <row r="17" spans="2:6" ht="21.75" customHeight="1" x14ac:dyDescent="0.25">
      <c r="B17" s="5" t="s">
        <v>18</v>
      </c>
      <c r="C17" s="5"/>
      <c r="D17" s="5"/>
      <c r="E17" s="36"/>
    </row>
    <row r="18" spans="2:6" ht="21.75" customHeight="1" x14ac:dyDescent="0.25">
      <c r="B18" s="5" t="s">
        <v>19</v>
      </c>
      <c r="C18" s="5"/>
      <c r="D18" s="5"/>
      <c r="E18" s="36"/>
    </row>
    <row r="20" spans="2:6" ht="15" customHeight="1" x14ac:dyDescent="0.25">
      <c r="B20" s="7" t="s">
        <v>163</v>
      </c>
      <c r="C20" s="7"/>
      <c r="D20" s="7"/>
      <c r="E20" s="7"/>
      <c r="F20" s="7"/>
    </row>
    <row r="21" spans="2:6" ht="15.75" customHeight="1" x14ac:dyDescent="0.25">
      <c r="B21" s="7"/>
      <c r="C21" s="7"/>
      <c r="D21" s="7"/>
      <c r="E21" s="7"/>
      <c r="F21" s="7"/>
    </row>
    <row r="22" spans="2:6" ht="15.75" customHeight="1" x14ac:dyDescent="0.25">
      <c r="B22" s="7"/>
      <c r="C22" s="7"/>
      <c r="D22" s="7"/>
      <c r="E22" s="7"/>
      <c r="F22" s="7"/>
    </row>
    <row r="23" spans="2:6" ht="15.75" customHeight="1" x14ac:dyDescent="0.25">
      <c r="B23" s="7"/>
      <c r="C23" s="7"/>
      <c r="D23" s="7"/>
      <c r="E23" s="7"/>
      <c r="F23" s="7"/>
    </row>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3"/>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Fees</vt:lpstr>
      <vt:lpstr>Audit</vt:lpstr>
      <vt:lpstr>Club Data</vt:lpstr>
      <vt:lpstr>Task 1 - Expected Fee</vt:lpstr>
      <vt:lpstr>Task 2 - Reconcile</vt:lpstr>
      <vt:lpstr>Task 3 - Find the Mismatch</vt:lpstr>
      <vt:lpstr>Task 4 - Validation Checks</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2026-06-10T13:07:26Z</dcterms:created>
  <dcterms:modified xsi:type="dcterms:W3CDTF">2026-06-22T21:50:17Z</dcterms:modified>
  <dc:language>en-US</dc:language>
</cp:coreProperties>
</file>