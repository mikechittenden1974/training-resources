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CHECKED\"/>
    </mc:Choice>
  </mc:AlternateContent>
  <xr:revisionPtr revIDLastSave="0" documentId="13_ncr:1_{84C9519C-D5D2-454B-A77D-4852EB066FE8}" xr6:coauthVersionLast="47" xr6:coauthVersionMax="47" xr10:uidLastSave="{00000000-0000-0000-0000-000000000000}"/>
  <bookViews>
    <workbookView xWindow="28680" yWindow="0" windowWidth="29040" windowHeight="17280" tabRatio="500" firstSheet="1" activeTab="6" xr2:uid="{00000000-000D-0000-FFFF-FFFF00000000}"/>
  </bookViews>
  <sheets>
    <sheet name="Start Here" sheetId="1" r:id="rId1"/>
    <sheet name="Task 1 - Append" sheetId="2" r:id="rId2"/>
    <sheet name="Task 2 - Merge" sheetId="3" r:id="rId3"/>
    <sheet name="Task 3 - Inner vs Left" sheetId="4" r:id="rId4"/>
    <sheet name="Support" sheetId="5" r:id="rId5"/>
    <sheet name="Stretch" sheetId="6" r:id="rId6"/>
    <sheet name="Confidence &amp; Next Step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8" i="6" l="1"/>
  <c r="G23" i="4"/>
  <c r="G22" i="4"/>
  <c r="G21" i="4"/>
  <c r="G20" i="3"/>
  <c r="G19" i="3"/>
  <c r="G18" i="2"/>
  <c r="G17" i="2"/>
  <c r="G16" i="2"/>
</calcChain>
</file>

<file path=xl/sharedStrings.xml><?xml version="1.0" encoding="utf-8"?>
<sst xmlns="http://schemas.openxmlformats.org/spreadsheetml/2006/main" count="135" uniqueCount="115">
  <si>
    <t>Module 5  -  Blending &amp; Linking</t>
  </si>
  <si>
    <t>YOUR JOURNEY</t>
  </si>
  <si>
    <t>Bring tables together two different ways  -  Self-paced</t>
  </si>
  <si>
    <t>You have clean, shaped queries. Often the data you need is spread across more than one table, and you must combine them. There are TWO ways to do that, and they are not the same thing - this module teaches both and when to use each.</t>
  </si>
  <si>
    <t>The two ways to combine tables</t>
  </si>
  <si>
    <t>APPEND = stacking. Two tables with the SAME columns, placed one on top of the other to make a longer table. Use it when you have more of the same kind of data - e.g. January bookings and February bookings.</t>
  </si>
  <si>
    <t>MERGE = joining. Two DIFFERENT tables linked by a shared key (like MemberID), placed side by side so each row gains extra columns. Use it when you want to bring related information together - e.g. add each member's payment to the members table.</t>
  </si>
  <si>
    <t>Simple way to remember: APPEND adds ROWS (taller); MERGE adds COLUMNS (wider).</t>
  </si>
  <si>
    <t>What you'll do in this module</t>
  </si>
  <si>
    <t>•  APPEND February bookings onto January bookings to get one full bookings table.</t>
  </si>
  <si>
    <t>•  MERGE the members and payments tables on MemberID.</t>
  </si>
  <si>
    <t>•  See for yourself the difference between an INNER join and a LEFT OUTER join.</t>
  </si>
  <si>
    <t>Before you start - combining is just two clear choices</t>
  </si>
  <si>
    <t>Don't worry about getting it perfect first time. Append and merge are both menu-driven, both recorded as Applied Steps, and both undoable. The only real thinking is: do I need more rows (append) or more columns (merge)? Breathe (in 4, hold 4, out 6) and take them one at a time.</t>
  </si>
  <si>
    <t>Your confidence baseline  (1 = not yet, 5 = confident)</t>
  </si>
  <si>
    <t>Statement</t>
  </si>
  <si>
    <t>Rating (1-5)</t>
  </si>
  <si>
    <t>I understand the difference between append and merge</t>
  </si>
  <si>
    <t>I can append two like tables into one</t>
  </si>
  <si>
    <t>I can merge two tables on a shared key</t>
  </si>
  <si>
    <t>I understand inner join vs left outer join</t>
  </si>
  <si>
    <t>Task 1 - Append (stack rows)</t>
  </si>
  <si>
    <t>Add February bookings onto January's</t>
  </si>
  <si>
    <t>There's a second bookings file, Bookings_Feb.csv, with the SAME columns as your January bookings. Because the columns match, you can stack them into one table with Append. First import the February file as a connection (like Module 2), then append.</t>
  </si>
  <si>
    <t>Step by step</t>
  </si>
  <si>
    <t>①  Import the new file: Data &gt; Get Data &gt; From File &gt; From Text/CSV &gt; Bookings_Feb.csv &gt; Load To... &gt; Only Create Connection. (Rename it 'Bookings_Feb'.)</t>
  </si>
  <si>
    <t>②  Now combine: Data &gt; Get Data &gt; Combine Queries &gt; Append. (Or in the Power Query Editor: Home &gt; Append Queries.)</t>
  </si>
  <si>
    <t>③  Choose 'Two tables'. Set the first table to your January Bookings and the second to Bookings_Feb.</t>
  </si>
  <si>
    <t>④  Click OK. The February rows are added under the January rows - same columns, more rows.</t>
  </si>
  <si>
    <t>⑤  Tip: append to a NEW query so your monthly tables stay separate underneath. Name the result 'Bookings_All'.</t>
  </si>
  <si>
    <t>Check it</t>
  </si>
  <si>
    <t>Question</t>
  </si>
  <si>
    <t>Your answer</t>
  </si>
  <si>
    <t>Check</t>
  </si>
  <si>
    <t>💡 Hints — try before you peek</t>
  </si>
  <si>
    <t>How many bookings are in January (your original Bookings table)?</t>
  </si>
  <si>
    <t>Row counts show bottom-left of the editor — or =COUNTA(A5:A24) on January's IDs.</t>
  </si>
  <si>
    <t>How many bookings are in the February file?</t>
  </si>
  <si>
    <t>Same check on the February query.</t>
  </si>
  <si>
    <t>After appending, how many bookings in total?</t>
  </si>
  <si>
    <t>Appending stacks rows — so just add the two counts. Verify on Bookings_All.</t>
  </si>
  <si>
    <t>💡  Append matches columns by NAME, not by position - so it's fine that the February file lists its columns in a different order. What matters is the names: if a column NAME differs between the two tables, Power Query keeps both versions and fills the gaps with null - a sign your tables aren't truly alike.</t>
  </si>
  <si>
    <t>Task 2 - Merge (join on a key)</t>
  </si>
  <si>
    <t>Bring each member's payment into the Members table</t>
  </si>
  <si>
    <t>Now join two DIFFERENT tables. Members and Payments both contain MemberID - that shared column is the 'key' that lets Power Query line up the right rows. You'll add the payment Amount onto each member.</t>
  </si>
  <si>
    <t>①  In the Power Query Editor, select your Members query.</t>
  </si>
  <si>
    <t>②  Home &gt; Merge Queries (choose 'Merge Queries as New' to make a separate result).</t>
  </si>
  <si>
    <t>③  Top table = Members. Bottom table = Payments.</t>
  </si>
  <si>
    <t>④  Click the MemberID column heading in BOTH tables - this tells Power Query what to match on.</t>
  </si>
  <si>
    <t>⑤  Choose the Join Kind (next task explains the choice) - for now pick 'Left Outer'. Click OK.</t>
  </si>
  <si>
    <t>⑥  A new column appears holding the matching Payments rows. Click the little EXPAND arrows on its heading and tick 'Amount' to pull that column in.</t>
  </si>
  <si>
    <t>Which column is the shared key you match on?</t>
  </si>
  <si>
    <t>Which column name appears in BOTH tables?</t>
  </si>
  <si>
    <t>Does merge make the table WIDER or TALLER?</t>
  </si>
  <si>
    <t>Merge bolts on extra COLUMNS from the second table — what does that do to the shape?</t>
  </si>
  <si>
    <t>💡  'Merge as New' keeps your original queries intact and puts the joined result in a new query - tidy, and easy to undo.</t>
  </si>
  <si>
    <t>Task 3 - Inner join vs Left outer join</t>
  </si>
  <si>
    <t>The Join Kind changes which rows you keep</t>
  </si>
  <si>
    <t>Not every member has a payment - three members (1021, 1022, 1023) never paid. What happens to them when you merge depends on the JOIN KIND you pick. Try both and watch the row count.</t>
  </si>
  <si>
    <t>What the two joins mean</t>
  </si>
  <si>
    <t>LEFT OUTER join: keep EVERY row from the top (left) table - all members - and add payment info where it exists. Members with no payment are kept, with a blank (null) Amount.</t>
  </si>
  <si>
    <t>INNER join: keep ONLY rows that match in BOTH tables - only members who DID pay. Members with no payment are dropped entirely.</t>
  </si>
  <si>
    <t>Try it both ways</t>
  </si>
  <si>
    <t>①  Do the merge from Task 2 with Join Kind = 'Left Outer'. Note the row count.</t>
  </si>
  <si>
    <t>②  Now repeat (or change the merge step) with Join Kind = 'Inner'. Note the row count again.</t>
  </si>
  <si>
    <t>③  Compare: the difference is exactly the members who never paid.</t>
  </si>
  <si>
    <t>With a LEFT OUTER join, how many member rows in the result?</t>
  </si>
  <si>
    <t>Left Outer keeps every member, paid or not — so it matches the member count.</t>
  </si>
  <si>
    <t>With an INNER join, how many member rows in the result?</t>
  </si>
  <si>
    <t>Inner keeps only members with a payment match.</t>
  </si>
  <si>
    <t>How many members are dropped by the inner join?</t>
  </si>
  <si>
    <t>Subtract the two row counts — those are your non-payers.</t>
  </si>
  <si>
    <t>💡  Rule of thumb: LEFT OUTER when you must keep everything from your main table; INNER when you only want records that exist in both. Choosing wrong here would silently lose 3 members - exactly the kind of error to avoid.</t>
  </si>
  <si>
    <t>Support - quick reference</t>
  </si>
  <si>
    <t>Menu paths for blending.</t>
  </si>
  <si>
    <t>Append two tables</t>
  </si>
  <si>
    <t>Data &gt; Get Data &gt; Combine Queries &gt; Append (or Home &gt; Append Queries in the editor) &gt; pick the two tables &gt; OK. Columns must match.</t>
  </si>
  <si>
    <t>Append to a new query</t>
  </si>
  <si>
    <t>Use 'Append Queries as New' so the originals stay separate.</t>
  </si>
  <si>
    <t>Merge two tables</t>
  </si>
  <si>
    <t>Home &gt; Merge Queries (or 'Merge Queries as New') &gt; pick top and bottom tables &gt; click the key column in BOTH &gt; choose Join Kind &gt; OK.</t>
  </si>
  <si>
    <t>Expand merged columns</t>
  </si>
  <si>
    <t>Click the expand arrows on the merged column heading &gt; tick the columns you want &gt; OK.</t>
  </si>
  <si>
    <t>Join Kind: Left Outer</t>
  </si>
  <si>
    <t>Keeps ALL rows of the first table; adds matches from the second; non-matches get null.</t>
  </si>
  <si>
    <t>Join Kind: Inner</t>
  </si>
  <si>
    <t>Keeps ONLY rows that match in both tables.</t>
  </si>
  <si>
    <t>Undo a step</t>
  </si>
  <si>
    <t>Applied Steps &gt; X next to the step.</t>
  </si>
  <si>
    <t>Finish</t>
  </si>
  <si>
    <t>Home &gt; Close &amp; Load To... &gt; Only Create Connection.</t>
  </si>
  <si>
    <t>Stretch - towards Distinction</t>
  </si>
  <si>
    <t>Reason about which combine, and which join.</t>
  </si>
  <si>
    <t>Distinction is choosing the right tool and explaining the consequence of choosing wrong.</t>
  </si>
  <si>
    <t>A harder check (self-marked)</t>
  </si>
  <si>
    <t>Answer</t>
  </si>
  <si>
    <t>After appending Jan + Feb, how many Swimming bookings are there in total?</t>
  </si>
  <si>
    <t>Group Bookings_All by Activity with Count Rows — or =COUNTIF(C5:C32,"Swimming") on a loaded copy.</t>
  </si>
  <si>
    <t>Reasoning prompts (write your own - no marking)</t>
  </si>
  <si>
    <t>A colleague appended Members and Payments and got a mess. Why was append the wrong choice - what should they have used?</t>
  </si>
  <si>
    <t>You merged with an inner join and three members vanished. Explain what happened and when that would actually be the RIGHT choice.</t>
  </si>
  <si>
    <t>Why append bookings into a NEW 'Bookings_All' query rather than overwriting January's table?</t>
  </si>
  <si>
    <t>Confidence &amp; Next Steps</t>
  </si>
  <si>
    <t>Your readiness gate for Module 6</t>
  </si>
  <si>
    <t>Mastery gate - ready for Module 6 when you can honestly tick all of these</t>
  </si>
  <si>
    <t>Type x in each yellow box you can tick.</t>
  </si>
  <si>
    <t>I can explain append (more rows) vs merge (more columns)</t>
  </si>
  <si>
    <t>I appended February bookings onto January</t>
  </si>
  <si>
    <t>I merged Members and Payments on MemberID</t>
  </si>
  <si>
    <t>I tried both a left outer and an inner join and saw the difference</t>
  </si>
  <si>
    <t>I can say which join keeps all members and which drops non-matches</t>
  </si>
  <si>
    <t>Re-rate your confidence (compare with your baseline)</t>
  </si>
  <si>
    <t>Seeing these rise from your Module 5 baseline is the goal.</t>
  </si>
  <si>
    <t>Now (1-5)</t>
  </si>
  <si>
    <t>Next up - Module 6: Spotting Simple Patterns. With one combined, blended table you'll read the data for simple trends - the most popular activity, the busiest month, totals and averages - the findings you'd hand to whoever does deeper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</si>
</sst>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charset val="1"/>
    </font>
    <font>
      <b/>
      <sz val="18"/>
      <color rgb="FFFFFFFF"/>
      <name val="Arial"/>
      <family val="2"/>
    </font>
    <font>
      <b/>
      <sz val="7"/>
      <color rgb="FF8C8C8C"/>
      <name val="Arial"/>
      <family val="2"/>
    </font>
    <font>
      <sz val="11"/>
      <color rgb="FFFFFFFF"/>
      <name val="Arial"/>
      <family val="2"/>
    </font>
    <font>
      <sz val="8"/>
      <color rgb="FF595959"/>
      <name val="Arial"/>
      <family val="2"/>
    </font>
    <font>
      <b/>
      <sz val="8"/>
      <color rgb="FFFFFFFF"/>
      <name val="Arial"/>
      <family val="2"/>
    </font>
    <font>
      <sz val="11"/>
      <color rgb="FF000000"/>
      <name val="Arial"/>
      <family val="2"/>
    </font>
    <font>
      <b/>
      <sz val="12"/>
      <color rgb="FF1F3B57"/>
      <name val="Arial"/>
      <family val="2"/>
    </font>
    <font>
      <b/>
      <sz val="11"/>
      <color rgb="FF1F3B57"/>
      <name val="Arial"/>
      <family val="2"/>
    </font>
    <font>
      <sz val="11"/>
      <color rgb="FF006100"/>
      <name val="Arial"/>
      <family val="2"/>
    </font>
    <font>
      <b/>
      <sz val="10.5"/>
      <color rgb="FFFFFFFF"/>
      <name val="Arial"/>
      <family val="2"/>
    </font>
    <font>
      <b/>
      <sz val="10"/>
      <color rgb="FF1F6B6B"/>
      <name val="Arial"/>
      <family val="2"/>
    </font>
    <font>
      <b/>
      <sz val="11"/>
      <name val="Arial"/>
      <family val="2"/>
    </font>
    <font>
      <i/>
      <sz val="9.5"/>
      <color rgb="FF3F6363"/>
      <name val="Arial"/>
      <family val="2"/>
    </font>
    <font>
      <sz val="10.5"/>
      <color rgb="FF5B4A1F"/>
      <name val="Arial"/>
      <family val="2"/>
    </font>
  </fonts>
  <fills count="10">
    <fill>
      <patternFill patternType="none"/>
    </fill>
    <fill>
      <patternFill patternType="gray125"/>
    </fill>
    <fill>
      <patternFill patternType="solid">
        <fgColor rgb="FF1F3B57"/>
        <bgColor rgb="FF003366"/>
      </patternFill>
    </fill>
    <fill>
      <patternFill patternType="solid">
        <fgColor rgb="FF2E8B8B"/>
        <bgColor rgb="FF2E75B6"/>
      </patternFill>
    </fill>
    <fill>
      <patternFill patternType="solid">
        <fgColor rgb="FFE2E6EA"/>
        <bgColor rgb="FFEAF2F2"/>
      </patternFill>
    </fill>
    <fill>
      <patternFill patternType="solid">
        <fgColor rgb="FFEAF2F2"/>
        <bgColor rgb="FFEFF6F6"/>
      </patternFill>
    </fill>
    <fill>
      <patternFill patternType="solid">
        <fgColor rgb="FFC6EFCE"/>
        <bgColor rgb="FFE2E6EA"/>
      </patternFill>
    </fill>
    <fill>
      <patternFill patternType="solid">
        <fgColor rgb="FFFFF3C4"/>
        <bgColor rgb="FFFDF4E3"/>
      </patternFill>
    </fill>
    <fill>
      <patternFill patternType="solid">
        <fgColor rgb="FFEFF6F6"/>
        <bgColor rgb="FFF5F5F5"/>
      </patternFill>
    </fill>
    <fill>
      <patternFill patternType="solid">
        <fgColor rgb="FFFDF4E3"/>
        <bgColor rgb="FFF5F5F5"/>
      </patternFill>
    </fill>
  </fills>
  <borders count="9">
    <border>
      <left/>
      <right/>
      <top/>
      <bottom/>
      <diagonal/>
    </border>
    <border>
      <left/>
      <right/>
      <top/>
      <bottom style="medium">
        <color rgb="FF2E8B8B"/>
      </bottom>
      <diagonal/>
    </border>
    <border>
      <left style="thick">
        <color rgb="FF2E8B8B"/>
      </left>
      <right/>
      <top/>
      <bottom/>
      <diagonal/>
    </border>
    <border>
      <left style="thick">
        <color rgb="FF2E8B8B"/>
      </left>
      <right/>
      <top style="thin">
        <color rgb="FFBFBFBF"/>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2E8B8B"/>
      </left>
      <right style="hair">
        <color rgb="FF9DC3C3"/>
      </right>
      <top style="hair">
        <color rgb="FF9DC3C3"/>
      </top>
      <bottom style="hair">
        <color rgb="FF9DC3C3"/>
      </bottom>
      <diagonal/>
    </border>
    <border>
      <left style="thick">
        <color rgb="FFE8A33D"/>
      </left>
      <right/>
      <top/>
      <bottom/>
      <diagonal/>
    </border>
  </borders>
  <cellStyleXfs count="1">
    <xf numFmtId="0" fontId="0" fillId="0" borderId="0"/>
  </cellStyleXfs>
  <cellXfs count="28">
    <xf numFmtId="0" fontId="0" fillId="0" borderId="0" xfId="0"/>
    <xf numFmtId="0" fontId="14" fillId="9" borderId="8" xfId="0" applyFont="1" applyFill="1" applyBorder="1" applyAlignment="1">
      <alignment vertical="top" wrapText="1"/>
    </xf>
    <xf numFmtId="0" fontId="10" fillId="2" borderId="0" xfId="0" applyFont="1" applyFill="1" applyAlignment="1">
      <alignment horizontal="left" vertical="center" wrapText="1" indent="1"/>
    </xf>
    <xf numFmtId="0" fontId="6" fillId="0" borderId="5" xfId="0" applyFont="1" applyBorder="1" applyAlignment="1">
      <alignment vertical="top" wrapText="1"/>
    </xf>
    <xf numFmtId="0" fontId="10" fillId="2" borderId="0" xfId="0" applyFont="1" applyFill="1" applyAlignment="1">
      <alignment vertical="center" wrapText="1" indent="1"/>
    </xf>
    <xf numFmtId="0" fontId="9" fillId="6" borderId="4" xfId="0" applyFont="1" applyFill="1" applyBorder="1" applyAlignment="1">
      <alignment vertical="top" wrapText="1"/>
    </xf>
    <xf numFmtId="0" fontId="8" fillId="0" borderId="0" xfId="0" applyFont="1" applyAlignment="1">
      <alignment vertical="top" wrapText="1"/>
    </xf>
    <xf numFmtId="0" fontId="6" fillId="5" borderId="3" xfId="0" applyFont="1" applyFill="1" applyBorder="1" applyAlignment="1">
      <alignment vertical="center" wrapText="1" indent="1"/>
    </xf>
    <xf numFmtId="0" fontId="7" fillId="5" borderId="2" xfId="0" applyFont="1" applyFill="1" applyBorder="1" applyAlignment="1">
      <alignment vertical="center" indent="1"/>
    </xf>
    <xf numFmtId="0" fontId="6" fillId="0" borderId="0" xfId="0" applyFont="1" applyAlignment="1">
      <alignment vertical="top" wrapText="1"/>
    </xf>
    <xf numFmtId="0" fontId="3" fillId="3" borderId="1" xfId="0" applyFont="1" applyFill="1" applyBorder="1" applyAlignment="1">
      <alignment horizontal="left" vertical="center"/>
    </xf>
    <xf numFmtId="0" fontId="1" fillId="2" borderId="0" xfId="0" applyFont="1" applyFill="1" applyAlignment="1">
      <alignment horizontal="left" vertical="center"/>
    </xf>
    <xf numFmtId="0" fontId="2" fillId="0" borderId="0" xfId="0" applyFont="1"/>
    <xf numFmtId="0" fontId="4" fillId="4" borderId="0" xfId="0" applyFont="1" applyFill="1" applyAlignment="1">
      <alignment horizontal="center" vertical="center"/>
    </xf>
    <xf numFmtId="0" fontId="5" fillId="3" borderId="0" xfId="0" applyFont="1" applyFill="1" applyAlignment="1">
      <alignment horizontal="center" vertical="center"/>
    </xf>
    <xf numFmtId="0" fontId="6" fillId="0" borderId="0" xfId="0" applyFont="1" applyAlignment="1">
      <alignment vertical="top" wrapText="1"/>
    </xf>
    <xf numFmtId="0" fontId="10" fillId="2" borderId="0" xfId="0" applyFont="1" applyFill="1" applyAlignment="1">
      <alignment vertical="center" wrapText="1"/>
    </xf>
    <xf numFmtId="0" fontId="10" fillId="2" borderId="0" xfId="0" applyFont="1" applyFill="1" applyAlignment="1">
      <alignment horizontal="center" vertical="center" wrapText="1"/>
    </xf>
    <xf numFmtId="0" fontId="11" fillId="0" borderId="0" xfId="0" applyFont="1" applyAlignment="1">
      <alignment vertical="center"/>
    </xf>
    <xf numFmtId="0" fontId="0" fillId="7" borderId="6" xfId="0" applyFill="1" applyBorder="1" applyAlignment="1">
      <alignment horizontal="center" vertical="center"/>
    </xf>
    <xf numFmtId="0" fontId="12" fillId="0" borderId="6" xfId="0" applyFont="1" applyBorder="1" applyAlignment="1">
      <alignment horizontal="center" vertical="center"/>
    </xf>
    <xf numFmtId="0" fontId="13" fillId="8" borderId="7" xfId="0" applyFont="1" applyFill="1" applyBorder="1" applyAlignment="1">
      <alignment vertical="top" wrapText="1"/>
    </xf>
    <xf numFmtId="0" fontId="8" fillId="0" borderId="6" xfId="0" applyFont="1" applyBorder="1" applyAlignment="1">
      <alignment vertical="top" wrapText="1"/>
    </xf>
    <xf numFmtId="0" fontId="6" fillId="0" borderId="6" xfId="0" applyFont="1" applyBorder="1" applyAlignment="1">
      <alignment vertical="top" wrapText="1"/>
    </xf>
    <xf numFmtId="0" fontId="10" fillId="2" borderId="0" xfId="0" applyFont="1" applyFill="1" applyAlignment="1">
      <alignment horizontal="center" vertical="center" wrapText="1" indent="1"/>
    </xf>
    <xf numFmtId="0" fontId="0" fillId="7" borderId="5" xfId="0" applyFill="1" applyBorder="1" applyAlignment="1" applyProtection="1">
      <alignment horizontal="center" vertical="center"/>
      <protection locked="0"/>
    </xf>
    <xf numFmtId="0" fontId="0" fillId="7" borderId="6" xfId="0" applyFill="1" applyBorder="1" applyAlignment="1" applyProtection="1">
      <alignment horizontal="center" vertical="center"/>
      <protection locked="0"/>
    </xf>
    <xf numFmtId="0" fontId="0" fillId="7" borderId="5" xfId="0" applyFill="1" applyBorder="1" applyAlignment="1" applyProtection="1">
      <alignment vertical="top" wrapText="1"/>
      <protection locked="0"/>
    </xf>
  </cellXfs>
  <cellStyles count="1">
    <cellStyle name="Normal" xfId="0" builtinId="0"/>
  </cellStyles>
  <dxfs count="8">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1F6B6B"/>
      <rgbColor rgb="FFBFBFBF"/>
      <rgbColor rgb="FF7F7F7F"/>
      <rgbColor rgb="FF9999FF"/>
      <rgbColor rgb="FF7030A0"/>
      <rgbColor rgb="FFFFF3C4"/>
      <rgbColor rgb="FFEAF2F2"/>
      <rgbColor rgb="FF660066"/>
      <rgbColor rgb="FFFF8080"/>
      <rgbColor rgb="FF0066CC"/>
      <rgbColor rgb="FFE2E6EA"/>
      <rgbColor rgb="FF000080"/>
      <rgbColor rgb="FFFF00FF"/>
      <rgbColor rgb="FFFFFF00"/>
      <rgbColor rgb="FF00FFFF"/>
      <rgbColor rgb="FF800080"/>
      <rgbColor rgb="FF800000"/>
      <rgbColor rgb="FF008080"/>
      <rgbColor rgb="FF0000FF"/>
      <rgbColor rgb="FF00CCFF"/>
      <rgbColor rgb="FFEFF6F6"/>
      <rgbColor rgb="FFC6EFCE"/>
      <rgbColor rgb="FFFDF4E3"/>
      <rgbColor rgb="FF9DC3C3"/>
      <rgbColor rgb="FFF5F5F5"/>
      <rgbColor rgb="FFCC99FF"/>
      <rgbColor rgb="FFFFC7CE"/>
      <rgbColor rgb="FF2E75B6"/>
      <rgbColor rgb="FF33CCCC"/>
      <rgbColor rgb="FF99CC00"/>
      <rgbColor rgb="FFFFCC00"/>
      <rgbColor rgb="FFE8A33D"/>
      <rgbColor rgb="FFBF8F00"/>
      <rgbColor rgb="FF595959"/>
      <rgbColor rgb="FF8C8C8C"/>
      <rgbColor rgb="FF003366"/>
      <rgbColor rgb="FF2E8B8B"/>
      <rgbColor rgb="FF003300"/>
      <rgbColor rgb="FF5B4A1F"/>
      <rgbColor rgb="FF993300"/>
      <rgbColor rgb="FF993366"/>
      <rgbColor rgb="FF3F6363"/>
      <rgbColor rgb="FF1F3B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7</xdr:col>
      <xdr:colOff>227771</xdr:colOff>
      <xdr:row>12</xdr:row>
      <xdr:rowOff>475888</xdr:rowOff>
    </xdr:to>
    <xdr:pic>
      <xdr:nvPicPr>
        <xdr:cNvPr id="2" name="Picture 1">
          <a:extLst>
            <a:ext uri="{FF2B5EF4-FFF2-40B4-BE49-F238E27FC236}">
              <a16:creationId xmlns:a16="http://schemas.microsoft.com/office/drawing/2014/main" id="{7B27B043-6C19-D744-69C1-DA4D2A533C9B}"/>
            </a:ext>
          </a:extLst>
        </xdr:cNvPr>
        <xdr:cNvPicPr>
          <a:picLocks noChangeAspect="1"/>
        </xdr:cNvPicPr>
      </xdr:nvPicPr>
      <xdr:blipFill>
        <a:blip xmlns:r="http://schemas.openxmlformats.org/officeDocument/2006/relationships" r:embed="rId1"/>
        <a:stretch>
          <a:fillRect/>
        </a:stretch>
      </xdr:blipFill>
      <xdr:spPr>
        <a:xfrm>
          <a:off x="200025" y="3752850"/>
          <a:ext cx="6628571" cy="2895238"/>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12</xdr:row>
      <xdr:rowOff>200026</xdr:rowOff>
    </xdr:from>
    <xdr:to>
      <xdr:col>5</xdr:col>
      <xdr:colOff>678435</xdr:colOff>
      <xdr:row>13</xdr:row>
      <xdr:rowOff>4333876</xdr:rowOff>
    </xdr:to>
    <xdr:pic>
      <xdr:nvPicPr>
        <xdr:cNvPr id="2" name="Picture 1">
          <a:extLst>
            <a:ext uri="{FF2B5EF4-FFF2-40B4-BE49-F238E27FC236}">
              <a16:creationId xmlns:a16="http://schemas.microsoft.com/office/drawing/2014/main" id="{6C923696-73B1-1620-18F5-C37C2D0AFB99}"/>
            </a:ext>
          </a:extLst>
        </xdr:cNvPr>
        <xdr:cNvPicPr>
          <a:picLocks noChangeAspect="1"/>
        </xdr:cNvPicPr>
      </xdr:nvPicPr>
      <xdr:blipFill>
        <a:blip xmlns:r="http://schemas.openxmlformats.org/officeDocument/2006/relationships" r:embed="rId1"/>
        <a:stretch>
          <a:fillRect/>
        </a:stretch>
      </xdr:blipFill>
      <xdr:spPr>
        <a:xfrm>
          <a:off x="238125" y="3667126"/>
          <a:ext cx="5040885" cy="4533900"/>
        </a:xfrm>
        <a:prstGeom prst="rect">
          <a:avLst/>
        </a:prstGeom>
        <a:ln>
          <a:solidFill>
            <a:schemeClr val="accent1"/>
          </a:solidFill>
        </a:ln>
      </xdr:spPr>
    </xdr:pic>
    <xdr:clientData/>
  </xdr:twoCellAnchor>
  <xdr:twoCellAnchor editAs="oneCell">
    <xdr:from>
      <xdr:col>0</xdr:col>
      <xdr:colOff>190500</xdr:colOff>
      <xdr:row>13</xdr:row>
      <xdr:rowOff>4524375</xdr:rowOff>
    </xdr:from>
    <xdr:to>
      <xdr:col>9</xdr:col>
      <xdr:colOff>3257040</xdr:colOff>
      <xdr:row>15</xdr:row>
      <xdr:rowOff>3895725</xdr:rowOff>
    </xdr:to>
    <xdr:pic>
      <xdr:nvPicPr>
        <xdr:cNvPr id="3" name="Picture 2">
          <a:extLst>
            <a:ext uri="{FF2B5EF4-FFF2-40B4-BE49-F238E27FC236}">
              <a16:creationId xmlns:a16="http://schemas.microsoft.com/office/drawing/2014/main" id="{C2E772D6-3AB7-A5CC-DD81-A2FBFC4696BA}"/>
            </a:ext>
          </a:extLst>
        </xdr:cNvPr>
        <xdr:cNvPicPr>
          <a:picLocks noChangeAspect="1"/>
        </xdr:cNvPicPr>
      </xdr:nvPicPr>
      <xdr:blipFill>
        <a:blip xmlns:r="http://schemas.openxmlformats.org/officeDocument/2006/relationships" r:embed="rId2"/>
        <a:stretch>
          <a:fillRect/>
        </a:stretch>
      </xdr:blipFill>
      <xdr:spPr>
        <a:xfrm>
          <a:off x="190500" y="8391525"/>
          <a:ext cx="10705590" cy="6457950"/>
        </a:xfrm>
        <a:prstGeom prst="rect">
          <a:avLst/>
        </a:prstGeom>
        <a:ln>
          <a:solidFill>
            <a:schemeClr val="accent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16</xdr:row>
      <xdr:rowOff>0</xdr:rowOff>
    </xdr:from>
    <xdr:to>
      <xdr:col>7</xdr:col>
      <xdr:colOff>227771</xdr:colOff>
      <xdr:row>17</xdr:row>
      <xdr:rowOff>2590055</xdr:rowOff>
    </xdr:to>
    <xdr:pic>
      <xdr:nvPicPr>
        <xdr:cNvPr id="2" name="Picture 1">
          <a:extLst>
            <a:ext uri="{FF2B5EF4-FFF2-40B4-BE49-F238E27FC236}">
              <a16:creationId xmlns:a16="http://schemas.microsoft.com/office/drawing/2014/main" id="{087B9D3E-FADC-37F7-3999-E6B907DA1F9D}"/>
            </a:ext>
          </a:extLst>
        </xdr:cNvPr>
        <xdr:cNvPicPr>
          <a:picLocks noChangeAspect="1"/>
        </xdr:cNvPicPr>
      </xdr:nvPicPr>
      <xdr:blipFill>
        <a:blip xmlns:r="http://schemas.openxmlformats.org/officeDocument/2006/relationships" r:embed="rId1"/>
        <a:stretch>
          <a:fillRect/>
        </a:stretch>
      </xdr:blipFill>
      <xdr:spPr>
        <a:xfrm>
          <a:off x="200025" y="4210050"/>
          <a:ext cx="6628571" cy="5961905"/>
        </a:xfrm>
        <a:prstGeom prst="rect">
          <a:avLst/>
        </a:prstGeom>
        <a:ln>
          <a:solidFill>
            <a:schemeClr val="accent1"/>
          </a:solid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sheetPr>
  <dimension ref="A1:V1000"/>
  <sheetViews>
    <sheetView showGridLines="0" zoomScaleNormal="100" workbookViewId="0">
      <selection activeCell="G25" sqref="G25:H25"/>
    </sheetView>
  </sheetViews>
  <sheetFormatPr defaultColWidth="14.42578125" defaultRowHeight="15" x14ac:dyDescent="0.25"/>
  <cols>
    <col min="1" max="1" width="3" customWidth="1"/>
    <col min="2" max="2" width="24" customWidth="1"/>
    <col min="3" max="5" width="14" customWidth="1"/>
    <col min="6" max="6" width="16" customWidth="1"/>
    <col min="7" max="7" width="14" customWidth="1"/>
    <col min="8" max="8" width="31.28515625" customWidth="1"/>
    <col min="10" max="22" width="3.42578125" customWidth="1"/>
  </cols>
  <sheetData>
    <row r="1" spans="1:22" ht="30" customHeight="1" x14ac:dyDescent="0.25">
      <c r="A1" s="11" t="s">
        <v>0</v>
      </c>
      <c r="B1" s="11"/>
      <c r="C1" s="11"/>
      <c r="D1" s="11"/>
      <c r="E1" s="11"/>
      <c r="F1" s="11"/>
      <c r="G1" s="11"/>
      <c r="H1" s="11"/>
      <c r="J1" s="12" t="s">
        <v>1</v>
      </c>
    </row>
    <row r="2" spans="1:22" ht="21.75" customHeight="1" x14ac:dyDescent="0.25">
      <c r="A2" s="10" t="s">
        <v>2</v>
      </c>
      <c r="B2" s="10"/>
      <c r="C2" s="10"/>
      <c r="D2" s="10"/>
      <c r="E2" s="10"/>
      <c r="F2" s="10"/>
      <c r="G2" s="10"/>
      <c r="H2" s="10"/>
      <c r="J2" s="13">
        <v>1</v>
      </c>
      <c r="K2" s="13">
        <v>2</v>
      </c>
      <c r="L2" s="13">
        <v>3</v>
      </c>
      <c r="M2" s="13">
        <v>4</v>
      </c>
      <c r="N2" s="14">
        <v>5</v>
      </c>
      <c r="O2" s="13">
        <v>6</v>
      </c>
      <c r="P2" s="13">
        <v>7</v>
      </c>
      <c r="Q2" s="13">
        <v>8</v>
      </c>
      <c r="R2" s="13">
        <v>9</v>
      </c>
      <c r="S2" s="13">
        <v>10</v>
      </c>
      <c r="T2" s="13">
        <v>11</v>
      </c>
      <c r="U2" s="13">
        <v>12</v>
      </c>
      <c r="V2" s="13">
        <v>13</v>
      </c>
    </row>
    <row r="3" spans="1:22" ht="15" customHeight="1" x14ac:dyDescent="0.25"/>
    <row r="4" spans="1:22" ht="45.75" customHeight="1" x14ac:dyDescent="0.25">
      <c r="A4" s="9" t="s">
        <v>3</v>
      </c>
      <c r="B4" s="9"/>
      <c r="C4" s="9"/>
      <c r="D4" s="9"/>
      <c r="E4" s="9"/>
      <c r="F4" s="9"/>
      <c r="G4" s="9"/>
      <c r="H4" s="9"/>
    </row>
    <row r="5" spans="1:22" ht="15" customHeight="1" x14ac:dyDescent="0.25"/>
    <row r="6" spans="1:22" ht="24" customHeight="1" x14ac:dyDescent="0.25">
      <c r="A6" s="8" t="s">
        <v>4</v>
      </c>
      <c r="B6" s="8"/>
      <c r="C6" s="8"/>
      <c r="D6" s="8"/>
      <c r="E6" s="8"/>
      <c r="F6" s="8"/>
      <c r="G6" s="8"/>
      <c r="H6" s="8"/>
    </row>
    <row r="7" spans="1:22" ht="19.5" customHeight="1" x14ac:dyDescent="0.25">
      <c r="B7" s="7" t="s">
        <v>5</v>
      </c>
      <c r="C7" s="7"/>
      <c r="D7" s="7"/>
      <c r="E7" s="7"/>
      <c r="F7" s="7"/>
      <c r="G7" s="7"/>
      <c r="H7" s="7"/>
    </row>
    <row r="8" spans="1:22" ht="15" customHeight="1" x14ac:dyDescent="0.25">
      <c r="B8" s="7"/>
      <c r="C8" s="7"/>
      <c r="D8" s="7"/>
      <c r="E8" s="7"/>
      <c r="F8" s="7"/>
      <c r="G8" s="7"/>
      <c r="H8" s="7"/>
    </row>
    <row r="9" spans="1:22" ht="19.5" customHeight="1" x14ac:dyDescent="0.25">
      <c r="B9" s="7" t="s">
        <v>6</v>
      </c>
      <c r="C9" s="7"/>
      <c r="D9" s="7"/>
      <c r="E9" s="7"/>
      <c r="F9" s="7"/>
      <c r="G9" s="7"/>
      <c r="H9" s="7"/>
    </row>
    <row r="10" spans="1:22" ht="15" customHeight="1" x14ac:dyDescent="0.25">
      <c r="B10" s="7"/>
      <c r="C10" s="7"/>
      <c r="D10" s="7"/>
      <c r="E10" s="7"/>
      <c r="F10" s="7"/>
      <c r="G10" s="7"/>
      <c r="H10" s="7"/>
    </row>
    <row r="11" spans="1:22" ht="18" customHeight="1" x14ac:dyDescent="0.25">
      <c r="A11" s="6" t="s">
        <v>7</v>
      </c>
      <c r="B11" s="6"/>
      <c r="C11" s="6"/>
      <c r="D11" s="6"/>
      <c r="E11" s="6"/>
      <c r="F11" s="6"/>
      <c r="G11" s="6"/>
      <c r="H11" s="6"/>
    </row>
    <row r="12" spans="1:22" ht="15" customHeight="1" x14ac:dyDescent="0.25"/>
    <row r="13" spans="1:22" ht="24" customHeight="1" x14ac:dyDescent="0.25">
      <c r="A13" s="8" t="s">
        <v>8</v>
      </c>
      <c r="B13" s="8"/>
      <c r="C13" s="8"/>
      <c r="D13" s="8"/>
      <c r="E13" s="8"/>
      <c r="F13" s="8"/>
      <c r="G13" s="8"/>
      <c r="H13" s="8"/>
    </row>
    <row r="14" spans="1:22" ht="15.75" customHeight="1" x14ac:dyDescent="0.25">
      <c r="A14" s="9" t="s">
        <v>9</v>
      </c>
      <c r="B14" s="9"/>
      <c r="C14" s="9"/>
      <c r="D14" s="9"/>
      <c r="E14" s="9"/>
      <c r="F14" s="9"/>
      <c r="G14" s="9"/>
      <c r="H14" s="9"/>
    </row>
    <row r="15" spans="1:22" ht="15.75" customHeight="1" x14ac:dyDescent="0.25">
      <c r="A15" s="9" t="s">
        <v>10</v>
      </c>
      <c r="B15" s="9"/>
      <c r="C15" s="9"/>
      <c r="D15" s="9"/>
      <c r="E15" s="9"/>
      <c r="F15" s="9"/>
      <c r="G15" s="9"/>
      <c r="H15" s="9"/>
    </row>
    <row r="16" spans="1:22" ht="15.75" customHeight="1" x14ac:dyDescent="0.25">
      <c r="A16" s="9" t="s">
        <v>11</v>
      </c>
      <c r="B16" s="9"/>
      <c r="C16" s="9"/>
      <c r="D16" s="9"/>
      <c r="E16" s="9"/>
      <c r="F16" s="9"/>
      <c r="G16" s="9"/>
      <c r="H16" s="9"/>
    </row>
    <row r="17" spans="1:8" ht="15" customHeight="1" x14ac:dyDescent="0.25"/>
    <row r="18" spans="1:8" ht="24" customHeight="1" x14ac:dyDescent="0.25">
      <c r="A18" s="8" t="s">
        <v>12</v>
      </c>
      <c r="B18" s="8"/>
      <c r="C18" s="8"/>
      <c r="D18" s="8"/>
      <c r="E18" s="8"/>
      <c r="F18" s="8"/>
      <c r="G18" s="8"/>
      <c r="H18" s="8"/>
    </row>
    <row r="19" spans="1:8" ht="15" customHeight="1" x14ac:dyDescent="0.25">
      <c r="B19" s="5" t="s">
        <v>13</v>
      </c>
      <c r="C19" s="5"/>
      <c r="D19" s="5"/>
      <c r="E19" s="5"/>
      <c r="F19" s="5"/>
      <c r="G19" s="5"/>
      <c r="H19" s="5"/>
    </row>
    <row r="20" spans="1:8" ht="15" customHeight="1" x14ac:dyDescent="0.25">
      <c r="B20" s="5"/>
      <c r="C20" s="5"/>
      <c r="D20" s="5"/>
      <c r="E20" s="5"/>
      <c r="F20" s="5"/>
      <c r="G20" s="5"/>
      <c r="H20" s="5"/>
    </row>
    <row r="21" spans="1:8" ht="15.75" customHeight="1" x14ac:dyDescent="0.25">
      <c r="B21" s="5"/>
      <c r="C21" s="5"/>
      <c r="D21" s="5"/>
      <c r="E21" s="5"/>
      <c r="F21" s="5"/>
      <c r="G21" s="5"/>
      <c r="H21" s="5"/>
    </row>
    <row r="22" spans="1:8" ht="15.75" customHeight="1" x14ac:dyDescent="0.25"/>
    <row r="23" spans="1:8" ht="24" customHeight="1" x14ac:dyDescent="0.25">
      <c r="A23" s="8" t="s">
        <v>14</v>
      </c>
      <c r="B23" s="8"/>
      <c r="C23" s="8"/>
      <c r="D23" s="8"/>
      <c r="E23" s="8"/>
      <c r="F23" s="8"/>
      <c r="G23" s="8"/>
      <c r="H23" s="8"/>
    </row>
    <row r="24" spans="1:8" ht="18" customHeight="1" x14ac:dyDescent="0.25">
      <c r="B24" s="4" t="s">
        <v>15</v>
      </c>
      <c r="C24" s="4"/>
      <c r="D24" s="4"/>
      <c r="E24" s="4"/>
      <c r="F24" s="4"/>
      <c r="G24" s="16" t="s">
        <v>16</v>
      </c>
    </row>
    <row r="25" spans="1:8" ht="15" customHeight="1" x14ac:dyDescent="0.25">
      <c r="B25" s="3" t="s">
        <v>17</v>
      </c>
      <c r="C25" s="3"/>
      <c r="D25" s="3"/>
      <c r="E25" s="3"/>
      <c r="F25" s="3"/>
      <c r="G25" s="25"/>
      <c r="H25" s="25"/>
    </row>
    <row r="26" spans="1:8" ht="15" customHeight="1" x14ac:dyDescent="0.25">
      <c r="B26" s="3" t="s">
        <v>18</v>
      </c>
      <c r="C26" s="3"/>
      <c r="D26" s="3"/>
      <c r="E26" s="3"/>
      <c r="F26" s="3"/>
      <c r="G26" s="25"/>
      <c r="H26" s="25"/>
    </row>
    <row r="27" spans="1:8" ht="15" customHeight="1" x14ac:dyDescent="0.25">
      <c r="B27" s="3" t="s">
        <v>19</v>
      </c>
      <c r="C27" s="3"/>
      <c r="D27" s="3"/>
      <c r="E27" s="3"/>
      <c r="F27" s="3"/>
      <c r="G27" s="25"/>
      <c r="H27" s="25"/>
    </row>
    <row r="28" spans="1:8" ht="15" customHeight="1" x14ac:dyDescent="0.25">
      <c r="B28" s="3" t="s">
        <v>20</v>
      </c>
      <c r="C28" s="3"/>
      <c r="D28" s="3"/>
      <c r="E28" s="3"/>
      <c r="F28" s="3"/>
      <c r="G28" s="25"/>
      <c r="H28" s="25"/>
    </row>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3">
    <mergeCell ref="B28:F28"/>
    <mergeCell ref="G28:H28"/>
    <mergeCell ref="B25:F25"/>
    <mergeCell ref="G25:H25"/>
    <mergeCell ref="B26:F26"/>
    <mergeCell ref="G26:H26"/>
    <mergeCell ref="B27:F27"/>
    <mergeCell ref="G27:H27"/>
    <mergeCell ref="A16:H16"/>
    <mergeCell ref="A18:H18"/>
    <mergeCell ref="B19:H21"/>
    <mergeCell ref="A23:H23"/>
    <mergeCell ref="B24:F24"/>
    <mergeCell ref="B9:H10"/>
    <mergeCell ref="A11:H11"/>
    <mergeCell ref="A13:H13"/>
    <mergeCell ref="A14:H14"/>
    <mergeCell ref="A15:H15"/>
    <mergeCell ref="A1:H1"/>
    <mergeCell ref="A2:H2"/>
    <mergeCell ref="A4:H4"/>
    <mergeCell ref="A6:H6"/>
    <mergeCell ref="B7:H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J998"/>
  <sheetViews>
    <sheetView showGridLines="0" topLeftCell="A4" zoomScaleNormal="100" workbookViewId="0">
      <selection activeCell="F16" sqref="F16"/>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10" ht="30" customHeight="1" x14ac:dyDescent="0.25">
      <c r="A1" s="11" t="s">
        <v>21</v>
      </c>
      <c r="B1" s="11"/>
      <c r="C1" s="11"/>
      <c r="D1" s="11"/>
      <c r="E1" s="11"/>
      <c r="F1" s="11"/>
      <c r="G1" s="11"/>
      <c r="H1" s="11"/>
    </row>
    <row r="2" spans="1:10" ht="21.75" customHeight="1" x14ac:dyDescent="0.25">
      <c r="A2" s="10" t="s">
        <v>22</v>
      </c>
      <c r="B2" s="10"/>
      <c r="C2" s="10"/>
      <c r="D2" s="10"/>
      <c r="E2" s="10"/>
      <c r="F2" s="10"/>
      <c r="G2" s="10"/>
      <c r="H2" s="10"/>
    </row>
    <row r="3" spans="1:10" ht="15" customHeight="1" x14ac:dyDescent="0.25"/>
    <row r="4" spans="1:10" ht="45.75" customHeight="1" x14ac:dyDescent="0.25">
      <c r="A4" s="9" t="s">
        <v>23</v>
      </c>
      <c r="B4" s="9"/>
      <c r="C4" s="9"/>
      <c r="D4" s="9"/>
      <c r="E4" s="9"/>
      <c r="F4" s="9"/>
      <c r="G4" s="9"/>
      <c r="H4" s="9"/>
    </row>
    <row r="5" spans="1:10" ht="15" customHeight="1" x14ac:dyDescent="0.25"/>
    <row r="6" spans="1:10" ht="24" customHeight="1" x14ac:dyDescent="0.25">
      <c r="A6" s="8" t="s">
        <v>24</v>
      </c>
      <c r="B6" s="8"/>
      <c r="C6" s="8"/>
      <c r="D6" s="8"/>
      <c r="E6" s="8"/>
      <c r="F6" s="8"/>
      <c r="G6" s="8"/>
      <c r="H6" s="8"/>
    </row>
    <row r="7" spans="1:10" ht="31.5" customHeight="1" x14ac:dyDescent="0.25">
      <c r="B7" s="9" t="s">
        <v>25</v>
      </c>
      <c r="C7" s="9"/>
      <c r="D7" s="9"/>
      <c r="E7" s="9"/>
      <c r="F7" s="9"/>
      <c r="G7" s="9"/>
      <c r="H7" s="9"/>
    </row>
    <row r="8" spans="1:10" ht="31.5" customHeight="1" x14ac:dyDescent="0.25">
      <c r="B8" s="9" t="s">
        <v>26</v>
      </c>
      <c r="C8" s="9"/>
      <c r="D8" s="9"/>
      <c r="E8" s="9"/>
      <c r="F8" s="9"/>
      <c r="G8" s="9"/>
      <c r="H8" s="9"/>
    </row>
    <row r="9" spans="1:10" ht="31.5" customHeight="1" x14ac:dyDescent="0.25">
      <c r="B9" s="9" t="s">
        <v>27</v>
      </c>
      <c r="C9" s="9"/>
      <c r="D9" s="9"/>
      <c r="E9" s="9"/>
      <c r="F9" s="9"/>
      <c r="G9" s="9"/>
      <c r="H9" s="9"/>
    </row>
    <row r="10" spans="1:10" ht="18" customHeight="1" x14ac:dyDescent="0.25">
      <c r="B10" s="9" t="s">
        <v>28</v>
      </c>
      <c r="C10" s="9"/>
      <c r="D10" s="9"/>
      <c r="E10" s="9"/>
      <c r="F10" s="9"/>
      <c r="G10" s="9"/>
      <c r="H10" s="9"/>
    </row>
    <row r="11" spans="1:10" ht="31.5" customHeight="1" x14ac:dyDescent="0.25">
      <c r="B11" s="9" t="s">
        <v>29</v>
      </c>
      <c r="C11" s="9"/>
      <c r="D11" s="9"/>
      <c r="E11" s="9"/>
      <c r="F11" s="9"/>
      <c r="G11" s="9"/>
      <c r="H11" s="9"/>
    </row>
    <row r="12" spans="1:10" ht="190.5" customHeight="1" x14ac:dyDescent="0.25">
      <c r="B12" s="15"/>
      <c r="C12" s="15"/>
      <c r="D12" s="15"/>
      <c r="E12" s="15"/>
      <c r="F12" s="15"/>
      <c r="G12" s="15"/>
      <c r="H12" s="15"/>
    </row>
    <row r="13" spans="1:10" ht="64.5" customHeight="1" x14ac:dyDescent="0.25"/>
    <row r="14" spans="1:10" ht="24" customHeight="1" x14ac:dyDescent="0.25">
      <c r="A14" s="8" t="s">
        <v>30</v>
      </c>
      <c r="B14" s="8"/>
      <c r="C14" s="8"/>
      <c r="D14" s="8"/>
      <c r="E14" s="8"/>
      <c r="F14" s="8"/>
      <c r="G14" s="8"/>
      <c r="H14" s="8"/>
    </row>
    <row r="15" spans="1:10" ht="18" customHeight="1" x14ac:dyDescent="0.25">
      <c r="B15" s="2" t="s">
        <v>31</v>
      </c>
      <c r="C15" s="2"/>
      <c r="D15" s="2"/>
      <c r="E15" s="2"/>
      <c r="F15" s="17" t="s">
        <v>32</v>
      </c>
      <c r="G15" s="17" t="s">
        <v>33</v>
      </c>
      <c r="J15" s="18" t="s">
        <v>34</v>
      </c>
    </row>
    <row r="16" spans="1:10" ht="30" customHeight="1" x14ac:dyDescent="0.25">
      <c r="B16" s="3" t="s">
        <v>35</v>
      </c>
      <c r="C16" s="3"/>
      <c r="D16" s="3"/>
      <c r="E16" s="3"/>
      <c r="F16" s="26"/>
      <c r="G16" s="20" t="str">
        <f>IF(F16="","",IFERROR(IFERROR(IF(ABS(F16-20)&lt;0.01,"✓  Correct","✗  Try again"),"✗  Try again"),"✗  Try again"))</f>
        <v/>
      </c>
      <c r="J16" s="21" t="s">
        <v>36</v>
      </c>
    </row>
    <row r="17" spans="1:10" ht="30" customHeight="1" x14ac:dyDescent="0.25">
      <c r="B17" s="3" t="s">
        <v>37</v>
      </c>
      <c r="C17" s="3"/>
      <c r="D17" s="3"/>
      <c r="E17" s="3"/>
      <c r="F17" s="26"/>
      <c r="G17" s="20" t="str">
        <f>IF(F17="","",IFERROR(IFERROR(IF(ABS(F17-8)&lt;0.01,"✓  Correct","✗  Try again"),"✗  Try again"),"✗  Try again"))</f>
        <v/>
      </c>
      <c r="J17" s="21" t="s">
        <v>38</v>
      </c>
    </row>
    <row r="18" spans="1:10" ht="30" customHeight="1" x14ac:dyDescent="0.25">
      <c r="B18" s="3" t="s">
        <v>39</v>
      </c>
      <c r="C18" s="3"/>
      <c r="D18" s="3"/>
      <c r="E18" s="3"/>
      <c r="F18" s="26"/>
      <c r="G18" s="20" t="str">
        <f>IF(F18="","",IFERROR(IFERROR(IF(ABS(F18-28)&lt;0.01,"✓  Correct","✗  Try again"),"✗  Try again"),"✗  Try again"))</f>
        <v/>
      </c>
      <c r="J18" s="21" t="s">
        <v>40</v>
      </c>
    </row>
    <row r="19" spans="1:10" ht="15.75" customHeight="1" x14ac:dyDescent="0.25"/>
    <row r="20" spans="1:10" ht="33.75" customHeight="1" x14ac:dyDescent="0.25">
      <c r="A20" s="1" t="s">
        <v>41</v>
      </c>
      <c r="B20" s="1"/>
      <c r="C20" s="1"/>
      <c r="D20" s="1"/>
      <c r="E20" s="1"/>
      <c r="F20" s="1"/>
      <c r="G20" s="1"/>
      <c r="H20" s="1"/>
    </row>
    <row r="21" spans="1:10" ht="15.75" customHeight="1" x14ac:dyDescent="0.25"/>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sheetProtection sheet="1" objects="1" scenarios="1" selectLockedCells="1"/>
  <mergeCells count="15">
    <mergeCell ref="A20:H20"/>
    <mergeCell ref="A14:H14"/>
    <mergeCell ref="B15:E15"/>
    <mergeCell ref="B16:E16"/>
    <mergeCell ref="B17:E17"/>
    <mergeCell ref="B18:E18"/>
    <mergeCell ref="B8:H8"/>
    <mergeCell ref="B9:H9"/>
    <mergeCell ref="B10:H10"/>
    <mergeCell ref="B11:H11"/>
    <mergeCell ref="A1:H1"/>
    <mergeCell ref="A2:H2"/>
    <mergeCell ref="A4:H4"/>
    <mergeCell ref="A6:H6"/>
    <mergeCell ref="B7:H7"/>
  </mergeCells>
  <conditionalFormatting sqref="G16:G18">
    <cfRule type="expression" dxfId="7" priority="2">
      <formula>ISNUMBER(SEARCH("Correct",G16))</formula>
    </cfRule>
    <cfRule type="expression" dxfId="6" priority="3">
      <formula>ISNUMBER(SEARCH("Try",G16))</formula>
    </cfRule>
  </conditionalFormatting>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J996"/>
  <sheetViews>
    <sheetView showGridLines="0" topLeftCell="A15" zoomScaleNormal="100" workbookViewId="0">
      <selection activeCell="F19" sqref="F19"/>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8" ht="30" customHeight="1" x14ac:dyDescent="0.25">
      <c r="A1" s="11" t="s">
        <v>42</v>
      </c>
      <c r="B1" s="11"/>
      <c r="C1" s="11"/>
      <c r="D1" s="11"/>
      <c r="E1" s="11"/>
      <c r="F1" s="11"/>
      <c r="G1" s="11"/>
      <c r="H1" s="11"/>
    </row>
    <row r="2" spans="1:8" ht="21.75" customHeight="1" x14ac:dyDescent="0.25">
      <c r="A2" s="10" t="s">
        <v>43</v>
      </c>
      <c r="B2" s="10"/>
      <c r="C2" s="10"/>
      <c r="D2" s="10"/>
      <c r="E2" s="10"/>
      <c r="F2" s="10"/>
      <c r="G2" s="10"/>
      <c r="H2" s="10"/>
    </row>
    <row r="3" spans="1:8" ht="15" customHeight="1" x14ac:dyDescent="0.25"/>
    <row r="4" spans="1:8" ht="45.75" customHeight="1" x14ac:dyDescent="0.25">
      <c r="A4" s="9" t="s">
        <v>44</v>
      </c>
      <c r="B4" s="9"/>
      <c r="C4" s="9"/>
      <c r="D4" s="9"/>
      <c r="E4" s="9"/>
      <c r="F4" s="9"/>
      <c r="G4" s="9"/>
      <c r="H4" s="9"/>
    </row>
    <row r="5" spans="1:8" ht="15" customHeight="1" x14ac:dyDescent="0.25"/>
    <row r="6" spans="1:8" ht="24" customHeight="1" x14ac:dyDescent="0.25">
      <c r="A6" s="8" t="s">
        <v>24</v>
      </c>
      <c r="B6" s="8"/>
      <c r="C6" s="8"/>
      <c r="D6" s="8"/>
      <c r="E6" s="8"/>
      <c r="F6" s="8"/>
      <c r="G6" s="8"/>
      <c r="H6" s="8"/>
    </row>
    <row r="7" spans="1:8" ht="18" customHeight="1" x14ac:dyDescent="0.25">
      <c r="B7" s="9" t="s">
        <v>45</v>
      </c>
      <c r="C7" s="9"/>
      <c r="D7" s="9"/>
      <c r="E7" s="9"/>
      <c r="F7" s="9"/>
      <c r="G7" s="9"/>
      <c r="H7" s="9"/>
    </row>
    <row r="8" spans="1:8" ht="18" customHeight="1" x14ac:dyDescent="0.25">
      <c r="B8" s="9" t="s">
        <v>46</v>
      </c>
      <c r="C8" s="9"/>
      <c r="D8" s="9"/>
      <c r="E8" s="9"/>
      <c r="F8" s="9"/>
      <c r="G8" s="9"/>
      <c r="H8" s="9"/>
    </row>
    <row r="9" spans="1:8" ht="18" customHeight="1" x14ac:dyDescent="0.25">
      <c r="B9" s="9" t="s">
        <v>47</v>
      </c>
      <c r="C9" s="9"/>
      <c r="D9" s="9"/>
      <c r="E9" s="9"/>
      <c r="F9" s="9"/>
      <c r="G9" s="9"/>
      <c r="H9" s="9"/>
    </row>
    <row r="10" spans="1:8" ht="18" customHeight="1" x14ac:dyDescent="0.25">
      <c r="B10" s="9" t="s">
        <v>48</v>
      </c>
      <c r="C10" s="9"/>
      <c r="D10" s="9"/>
      <c r="E10" s="9"/>
      <c r="F10" s="9"/>
      <c r="G10" s="9"/>
      <c r="H10" s="9"/>
    </row>
    <row r="11" spans="1:8" ht="18" customHeight="1" x14ac:dyDescent="0.25">
      <c r="B11" s="9" t="s">
        <v>49</v>
      </c>
      <c r="C11" s="9"/>
      <c r="D11" s="9"/>
      <c r="E11" s="9"/>
      <c r="F11" s="9"/>
      <c r="G11" s="9"/>
      <c r="H11" s="9"/>
    </row>
    <row r="12" spans="1:8" ht="31.5" customHeight="1" x14ac:dyDescent="0.25">
      <c r="B12" s="9" t="s">
        <v>50</v>
      </c>
      <c r="C12" s="9"/>
      <c r="D12" s="9"/>
      <c r="E12" s="9"/>
      <c r="F12" s="9"/>
      <c r="G12" s="9"/>
      <c r="H12" s="9"/>
    </row>
    <row r="13" spans="1:8" ht="31.5" customHeight="1" x14ac:dyDescent="0.25">
      <c r="B13" s="15"/>
      <c r="C13" s="15"/>
      <c r="D13" s="15"/>
      <c r="E13" s="15"/>
      <c r="F13" s="15"/>
      <c r="G13" s="15"/>
      <c r="H13" s="15"/>
    </row>
    <row r="14" spans="1:8" ht="358.5" customHeight="1" x14ac:dyDescent="0.25">
      <c r="B14" s="15"/>
      <c r="C14" s="15"/>
      <c r="D14" s="15"/>
      <c r="E14" s="15"/>
      <c r="F14" s="15"/>
      <c r="G14" s="15"/>
      <c r="H14" s="15"/>
    </row>
    <row r="15" spans="1:8" ht="199.5" customHeight="1" x14ac:dyDescent="0.25"/>
    <row r="16" spans="1:8" ht="332.25" customHeight="1" x14ac:dyDescent="0.25"/>
    <row r="17" spans="1:10" ht="24" customHeight="1" x14ac:dyDescent="0.25">
      <c r="A17" s="8" t="s">
        <v>30</v>
      </c>
      <c r="B17" s="8"/>
      <c r="C17" s="8"/>
      <c r="D17" s="8"/>
      <c r="E17" s="8"/>
      <c r="F17" s="8"/>
      <c r="G17" s="8"/>
      <c r="H17" s="8"/>
    </row>
    <row r="18" spans="1:10" ht="18" customHeight="1" x14ac:dyDescent="0.25">
      <c r="B18" s="2" t="s">
        <v>31</v>
      </c>
      <c r="C18" s="2"/>
      <c r="D18" s="2"/>
      <c r="E18" s="2"/>
      <c r="F18" s="17" t="s">
        <v>32</v>
      </c>
      <c r="G18" s="17" t="s">
        <v>33</v>
      </c>
      <c r="J18" s="18" t="s">
        <v>34</v>
      </c>
    </row>
    <row r="19" spans="1:10" ht="30" customHeight="1" x14ac:dyDescent="0.25">
      <c r="B19" s="3" t="s">
        <v>51</v>
      </c>
      <c r="C19" s="3"/>
      <c r="D19" s="3"/>
      <c r="E19" s="3"/>
      <c r="F19" s="26"/>
      <c r="G19" s="20" t="str">
        <f>IF(F19="","",IF(ISNUMBER(SEARCH("memberid",F19)),"✓  Correct","✗  Try again"))</f>
        <v/>
      </c>
      <c r="J19" s="21" t="s">
        <v>52</v>
      </c>
    </row>
    <row r="20" spans="1:10" ht="30" customHeight="1" x14ac:dyDescent="0.25">
      <c r="B20" s="3" t="s">
        <v>53</v>
      </c>
      <c r="C20" s="3"/>
      <c r="D20" s="3"/>
      <c r="E20" s="3"/>
      <c r="F20" s="26"/>
      <c r="G20" s="20" t="str">
        <f>IF(F20="","",IF(ISNUMBER(SEARCH("wider",F20)),"✓  Correct","✗  Try again"))</f>
        <v/>
      </c>
      <c r="J20" s="21" t="s">
        <v>54</v>
      </c>
    </row>
    <row r="21" spans="1:10" ht="15.75" customHeight="1" x14ac:dyDescent="0.25"/>
    <row r="22" spans="1:10" ht="30" customHeight="1" x14ac:dyDescent="0.25">
      <c r="A22" s="1" t="s">
        <v>55</v>
      </c>
      <c r="B22" s="1"/>
      <c r="C22" s="1"/>
      <c r="D22" s="1"/>
      <c r="E22" s="1"/>
      <c r="F22" s="1"/>
      <c r="G22" s="1"/>
      <c r="H22" s="1"/>
    </row>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sheetProtection sheet="1" objects="1" scenarios="1" selectLockedCells="1"/>
  <mergeCells count="15">
    <mergeCell ref="B20:E20"/>
    <mergeCell ref="A22:H22"/>
    <mergeCell ref="A17:H17"/>
    <mergeCell ref="B18:E18"/>
    <mergeCell ref="B19:E19"/>
    <mergeCell ref="B8:H8"/>
    <mergeCell ref="B9:H9"/>
    <mergeCell ref="B10:H10"/>
    <mergeCell ref="B11:H11"/>
    <mergeCell ref="B12:H12"/>
    <mergeCell ref="A1:H1"/>
    <mergeCell ref="A2:H2"/>
    <mergeCell ref="A4:H4"/>
    <mergeCell ref="A6:H6"/>
    <mergeCell ref="B7:H7"/>
  </mergeCells>
  <conditionalFormatting sqref="G19:G20">
    <cfRule type="expression" dxfId="5" priority="2">
      <formula>ISNUMBER(SEARCH("Correct",G19))</formula>
    </cfRule>
    <cfRule type="expression" dxfId="4" priority="3">
      <formula>ISNUMBER(SEARCH("Try",G19))</formula>
    </cfRule>
  </conditionalFormatting>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J999"/>
  <sheetViews>
    <sheetView showGridLines="0" topLeftCell="A6" zoomScaleNormal="100" workbookViewId="0">
      <selection activeCell="F21" sqref="F21:F23"/>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8" ht="30" customHeight="1" x14ac:dyDescent="0.25">
      <c r="A1" s="11" t="s">
        <v>56</v>
      </c>
      <c r="B1" s="11"/>
      <c r="C1" s="11"/>
      <c r="D1" s="11"/>
      <c r="E1" s="11"/>
      <c r="F1" s="11"/>
      <c r="G1" s="11"/>
      <c r="H1" s="11"/>
    </row>
    <row r="2" spans="1:8" ht="21.75" customHeight="1" x14ac:dyDescent="0.25">
      <c r="A2" s="10" t="s">
        <v>57</v>
      </c>
      <c r="B2" s="10"/>
      <c r="C2" s="10"/>
      <c r="D2" s="10"/>
      <c r="E2" s="10"/>
      <c r="F2" s="10"/>
      <c r="G2" s="10"/>
      <c r="H2" s="10"/>
    </row>
    <row r="3" spans="1:8" ht="15" customHeight="1" x14ac:dyDescent="0.25"/>
    <row r="4" spans="1:8" ht="45.75" customHeight="1" x14ac:dyDescent="0.25">
      <c r="A4" s="9" t="s">
        <v>58</v>
      </c>
      <c r="B4" s="9"/>
      <c r="C4" s="9"/>
      <c r="D4" s="9"/>
      <c r="E4" s="9"/>
      <c r="F4" s="9"/>
      <c r="G4" s="9"/>
      <c r="H4" s="9"/>
    </row>
    <row r="5" spans="1:8" ht="15" customHeight="1" x14ac:dyDescent="0.25"/>
    <row r="6" spans="1:8" ht="24" customHeight="1" x14ac:dyDescent="0.25">
      <c r="A6" s="8" t="s">
        <v>59</v>
      </c>
      <c r="B6" s="8"/>
      <c r="C6" s="8"/>
      <c r="D6" s="8"/>
      <c r="E6" s="8"/>
      <c r="F6" s="8"/>
      <c r="G6" s="8"/>
      <c r="H6" s="8"/>
    </row>
    <row r="7" spans="1:8" ht="19.5" customHeight="1" x14ac:dyDescent="0.25">
      <c r="B7" s="7" t="s">
        <v>60</v>
      </c>
      <c r="C7" s="7"/>
      <c r="D7" s="7"/>
      <c r="E7" s="7"/>
      <c r="F7" s="7"/>
      <c r="G7" s="7"/>
      <c r="H7" s="7"/>
    </row>
    <row r="8" spans="1:8" ht="15" customHeight="1" x14ac:dyDescent="0.25">
      <c r="B8" s="7"/>
      <c r="C8" s="7"/>
      <c r="D8" s="7"/>
      <c r="E8" s="7"/>
      <c r="F8" s="7"/>
      <c r="G8" s="7"/>
      <c r="H8" s="7"/>
    </row>
    <row r="9" spans="1:8" ht="19.5" customHeight="1" x14ac:dyDescent="0.25">
      <c r="B9" s="7" t="s">
        <v>61</v>
      </c>
      <c r="C9" s="7"/>
      <c r="D9" s="7"/>
      <c r="E9" s="7"/>
      <c r="F9" s="7"/>
      <c r="G9" s="7"/>
      <c r="H9" s="7"/>
    </row>
    <row r="10" spans="1:8" ht="15" customHeight="1" x14ac:dyDescent="0.25">
      <c r="B10" s="7"/>
      <c r="C10" s="7"/>
      <c r="D10" s="7"/>
      <c r="E10" s="7"/>
      <c r="F10" s="7"/>
      <c r="G10" s="7"/>
      <c r="H10" s="7"/>
    </row>
    <row r="11" spans="1:8" ht="15" customHeight="1" x14ac:dyDescent="0.25"/>
    <row r="12" spans="1:8" ht="24" customHeight="1" x14ac:dyDescent="0.25">
      <c r="A12" s="8" t="s">
        <v>62</v>
      </c>
      <c r="B12" s="8"/>
      <c r="C12" s="8"/>
      <c r="D12" s="8"/>
      <c r="E12" s="8"/>
      <c r="F12" s="8"/>
      <c r="G12" s="8"/>
      <c r="H12" s="8"/>
    </row>
    <row r="13" spans="1:8" ht="18" customHeight="1" x14ac:dyDescent="0.25">
      <c r="B13" s="9" t="s">
        <v>63</v>
      </c>
      <c r="C13" s="9"/>
      <c r="D13" s="9"/>
      <c r="E13" s="9"/>
      <c r="F13" s="9"/>
      <c r="G13" s="9"/>
      <c r="H13" s="9"/>
    </row>
    <row r="14" spans="1:8" ht="18" customHeight="1" x14ac:dyDescent="0.25">
      <c r="B14" s="9" t="s">
        <v>64</v>
      </c>
      <c r="C14" s="9"/>
      <c r="D14" s="9"/>
      <c r="E14" s="9"/>
      <c r="F14" s="9"/>
      <c r="G14" s="9"/>
      <c r="H14" s="9"/>
    </row>
    <row r="15" spans="1:8" ht="18" customHeight="1" x14ac:dyDescent="0.25">
      <c r="B15" s="9" t="s">
        <v>65</v>
      </c>
      <c r="C15" s="9"/>
      <c r="D15" s="9"/>
      <c r="E15" s="9"/>
      <c r="F15" s="9"/>
      <c r="G15" s="9"/>
      <c r="H15" s="9"/>
    </row>
    <row r="16" spans="1:8" ht="18" customHeight="1" x14ac:dyDescent="0.25">
      <c r="B16" s="15"/>
      <c r="C16" s="15"/>
      <c r="D16" s="15"/>
      <c r="E16" s="15"/>
      <c r="F16" s="15"/>
      <c r="G16" s="15"/>
      <c r="H16" s="15"/>
    </row>
    <row r="17" spans="1:10" ht="265.5" customHeight="1" x14ac:dyDescent="0.25">
      <c r="B17" s="15"/>
      <c r="C17" s="15"/>
      <c r="D17" s="15"/>
      <c r="E17" s="15"/>
      <c r="F17" s="15"/>
      <c r="G17" s="15"/>
      <c r="H17" s="15"/>
    </row>
    <row r="18" spans="1:10" ht="228" customHeight="1" x14ac:dyDescent="0.25"/>
    <row r="19" spans="1:10" ht="24" customHeight="1" x14ac:dyDescent="0.25">
      <c r="A19" s="8" t="s">
        <v>30</v>
      </c>
      <c r="B19" s="8"/>
      <c r="C19" s="8"/>
      <c r="D19" s="8"/>
      <c r="E19" s="8"/>
      <c r="F19" s="8"/>
      <c r="G19" s="8"/>
      <c r="H19" s="8"/>
    </row>
    <row r="20" spans="1:10" ht="18" customHeight="1" x14ac:dyDescent="0.25">
      <c r="B20" s="2" t="s">
        <v>31</v>
      </c>
      <c r="C20" s="2"/>
      <c r="D20" s="2"/>
      <c r="E20" s="2"/>
      <c r="F20" s="17" t="s">
        <v>32</v>
      </c>
      <c r="G20" s="17" t="s">
        <v>33</v>
      </c>
      <c r="J20" s="18" t="s">
        <v>34</v>
      </c>
    </row>
    <row r="21" spans="1:10" ht="30" customHeight="1" x14ac:dyDescent="0.25">
      <c r="B21" s="3" t="s">
        <v>66</v>
      </c>
      <c r="C21" s="3"/>
      <c r="D21" s="3"/>
      <c r="E21" s="3"/>
      <c r="F21" s="26"/>
      <c r="G21" s="20" t="str">
        <f>IF(F21="","",IFERROR(IFERROR(IF(ABS(F21-23)&lt;0.01,"✓  Correct","✗  Try again"),"✗  Try again"),"✗  Try again"))</f>
        <v/>
      </c>
      <c r="J21" s="21" t="s">
        <v>67</v>
      </c>
    </row>
    <row r="22" spans="1:10" ht="30" customHeight="1" x14ac:dyDescent="0.25">
      <c r="B22" s="3" t="s">
        <v>68</v>
      </c>
      <c r="C22" s="3"/>
      <c r="D22" s="3"/>
      <c r="E22" s="3"/>
      <c r="F22" s="26"/>
      <c r="G22" s="20" t="str">
        <f>IF(F22="","",IFERROR(IFERROR(IF(ABS(F22-20)&lt;0.01,"✓  Correct","✗  Try again"),"✗  Try again"),"✗  Try again"))</f>
        <v/>
      </c>
      <c r="J22" s="21" t="s">
        <v>69</v>
      </c>
    </row>
    <row r="23" spans="1:10" ht="30" customHeight="1" x14ac:dyDescent="0.25">
      <c r="B23" s="3" t="s">
        <v>70</v>
      </c>
      <c r="C23" s="3"/>
      <c r="D23" s="3"/>
      <c r="E23" s="3"/>
      <c r="F23" s="26"/>
      <c r="G23" s="20" t="str">
        <f>IF(F23="","",IFERROR(IFERROR(IF(ABS(F23-3)&lt;0.01,"✓  Correct","✗  Try again"),"✗  Try again"),"✗  Try again"))</f>
        <v/>
      </c>
      <c r="J23" s="21" t="s">
        <v>71</v>
      </c>
    </row>
    <row r="24" spans="1:10" ht="15.75" customHeight="1" x14ac:dyDescent="0.25"/>
    <row r="25" spans="1:10" ht="43.5" customHeight="1" x14ac:dyDescent="0.25">
      <c r="A25" s="1" t="s">
        <v>72</v>
      </c>
      <c r="B25" s="1"/>
      <c r="C25" s="1"/>
      <c r="D25" s="1"/>
      <c r="E25" s="1"/>
      <c r="F25" s="1"/>
      <c r="G25" s="1"/>
      <c r="H25" s="1"/>
    </row>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sheetProtection sheet="1" objects="1" scenarios="1" selectLockedCells="1"/>
  <mergeCells count="16">
    <mergeCell ref="B23:E23"/>
    <mergeCell ref="A25:H25"/>
    <mergeCell ref="A19:H19"/>
    <mergeCell ref="B20:E20"/>
    <mergeCell ref="B21:E21"/>
    <mergeCell ref="B22:E22"/>
    <mergeCell ref="B9:H10"/>
    <mergeCell ref="A12:H12"/>
    <mergeCell ref="B13:H13"/>
    <mergeCell ref="B14:H14"/>
    <mergeCell ref="B15:H15"/>
    <mergeCell ref="A1:H1"/>
    <mergeCell ref="A2:H2"/>
    <mergeCell ref="A4:H4"/>
    <mergeCell ref="A6:H6"/>
    <mergeCell ref="B7:H8"/>
  </mergeCells>
  <conditionalFormatting sqref="G21:G23">
    <cfRule type="expression" dxfId="3" priority="2">
      <formula>ISNUMBER(SEARCH("Correct",G21))</formula>
    </cfRule>
    <cfRule type="expression" dxfId="2" priority="3">
      <formula>ISNUMBER(SEARCH("Try",G21))</formula>
    </cfRule>
  </conditionalFormatting>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C1000"/>
  <sheetViews>
    <sheetView showGridLines="0" zoomScaleNormal="100" workbookViewId="0">
      <selection sqref="A1:C1"/>
    </sheetView>
  </sheetViews>
  <sheetFormatPr defaultColWidth="14.42578125" defaultRowHeight="15" x14ac:dyDescent="0.25"/>
  <cols>
    <col min="1" max="1" width="3" customWidth="1"/>
    <col min="2" max="2" width="26" customWidth="1"/>
    <col min="3" max="3" width="70" customWidth="1"/>
    <col min="4" max="8" width="8.7109375" customWidth="1"/>
  </cols>
  <sheetData>
    <row r="1" spans="1:3" ht="30" customHeight="1" x14ac:dyDescent="0.25">
      <c r="A1" s="11" t="s">
        <v>73</v>
      </c>
      <c r="B1" s="11"/>
      <c r="C1" s="11"/>
    </row>
    <row r="2" spans="1:3" ht="21.75" customHeight="1" x14ac:dyDescent="0.25">
      <c r="A2" s="10" t="s">
        <v>74</v>
      </c>
      <c r="B2" s="10"/>
      <c r="C2" s="10"/>
    </row>
    <row r="3" spans="1:3" ht="15" customHeight="1" x14ac:dyDescent="0.25"/>
    <row r="4" spans="1:3" ht="39.75" customHeight="1" x14ac:dyDescent="0.25">
      <c r="B4" s="22" t="s">
        <v>75</v>
      </c>
      <c r="C4" s="23" t="s">
        <v>76</v>
      </c>
    </row>
    <row r="5" spans="1:3" ht="39.75" customHeight="1" x14ac:dyDescent="0.25">
      <c r="B5" s="22" t="s">
        <v>77</v>
      </c>
      <c r="C5" s="23" t="s">
        <v>78</v>
      </c>
    </row>
    <row r="6" spans="1:3" ht="39.75" customHeight="1" x14ac:dyDescent="0.25">
      <c r="B6" s="22" t="s">
        <v>79</v>
      </c>
      <c r="C6" s="23" t="s">
        <v>80</v>
      </c>
    </row>
    <row r="7" spans="1:3" ht="39.75" customHeight="1" x14ac:dyDescent="0.25">
      <c r="B7" s="22" t="s">
        <v>81</v>
      </c>
      <c r="C7" s="23" t="s">
        <v>82</v>
      </c>
    </row>
    <row r="8" spans="1:3" ht="39.75" customHeight="1" x14ac:dyDescent="0.25">
      <c r="B8" s="22" t="s">
        <v>83</v>
      </c>
      <c r="C8" s="23" t="s">
        <v>84</v>
      </c>
    </row>
    <row r="9" spans="1:3" ht="39.75" customHeight="1" x14ac:dyDescent="0.25">
      <c r="B9" s="22" t="s">
        <v>85</v>
      </c>
      <c r="C9" s="23" t="s">
        <v>86</v>
      </c>
    </row>
    <row r="10" spans="1:3" ht="39.75" customHeight="1" x14ac:dyDescent="0.25">
      <c r="B10" s="22" t="s">
        <v>87</v>
      </c>
      <c r="C10" s="23" t="s">
        <v>88</v>
      </c>
    </row>
    <row r="11" spans="1:3" ht="39.75" customHeight="1" x14ac:dyDescent="0.25">
      <c r="B11" s="22" t="s">
        <v>89</v>
      </c>
      <c r="C11" s="23" t="s">
        <v>90</v>
      </c>
    </row>
    <row r="12" spans="1:3" ht="15" customHeight="1" x14ac:dyDescent="0.25"/>
    <row r="13" spans="1:3" ht="15" customHeight="1" x14ac:dyDescent="0.25"/>
    <row r="14" spans="1:3" ht="15" customHeight="1" x14ac:dyDescent="0.25"/>
    <row r="15" spans="1:3" ht="15" customHeight="1" x14ac:dyDescent="0.25"/>
    <row r="16" spans="1:3" ht="15" customHeight="1" x14ac:dyDescent="0.25"/>
    <row r="17" ht="15" customHeight="1" x14ac:dyDescent="0.25"/>
    <row r="18" ht="15" customHeight="1" x14ac:dyDescent="0.25"/>
    <row r="19" ht="15" customHeight="1" x14ac:dyDescent="0.25"/>
    <row r="20" ht="1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
    <mergeCell ref="A1:C1"/>
    <mergeCell ref="A2:C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J1000"/>
  <sheetViews>
    <sheetView showGridLines="0" zoomScaleNormal="100" workbookViewId="0">
      <selection activeCell="D12" sqref="D12:E12"/>
    </sheetView>
  </sheetViews>
  <sheetFormatPr defaultColWidth="14.42578125" defaultRowHeight="15" x14ac:dyDescent="0.25"/>
  <cols>
    <col min="1" max="1" width="3" customWidth="1"/>
    <col min="2" max="2" width="54" customWidth="1"/>
    <col min="3" max="4" width="16" customWidth="1"/>
    <col min="5" max="5" width="36" customWidth="1"/>
    <col min="6" max="8" width="8.7109375" customWidth="1"/>
    <col min="9" max="9" width="1.5703125" customWidth="1"/>
    <col min="10" max="10" width="52" customWidth="1"/>
  </cols>
  <sheetData>
    <row r="1" spans="1:10" ht="30" customHeight="1" x14ac:dyDescent="0.25">
      <c r="A1" s="11" t="s">
        <v>91</v>
      </c>
      <c r="B1" s="11"/>
      <c r="C1" s="11"/>
      <c r="D1" s="11"/>
      <c r="E1" s="11"/>
    </row>
    <row r="2" spans="1:10" ht="21.75" customHeight="1" x14ac:dyDescent="0.25">
      <c r="A2" s="10" t="s">
        <v>92</v>
      </c>
      <c r="B2" s="10"/>
      <c r="C2" s="10"/>
      <c r="D2" s="10"/>
      <c r="E2" s="10"/>
    </row>
    <row r="3" spans="1:10" ht="15" customHeight="1" x14ac:dyDescent="0.25"/>
    <row r="4" spans="1:10" ht="27.75" customHeight="1" x14ac:dyDescent="0.25">
      <c r="A4" s="9" t="s">
        <v>93</v>
      </c>
      <c r="B4" s="9"/>
      <c r="C4" s="9"/>
      <c r="D4" s="9"/>
      <c r="E4" s="9"/>
    </row>
    <row r="5" spans="1:10" ht="15" customHeight="1" x14ac:dyDescent="0.25"/>
    <row r="6" spans="1:10" ht="24" customHeight="1" x14ac:dyDescent="0.25">
      <c r="A6" s="8" t="s">
        <v>94</v>
      </c>
      <c r="B6" s="8"/>
      <c r="C6" s="8"/>
      <c r="D6" s="8"/>
      <c r="E6" s="8"/>
    </row>
    <row r="7" spans="1:10" ht="18" customHeight="1" x14ac:dyDescent="0.25">
      <c r="B7" s="24" t="s">
        <v>31</v>
      </c>
      <c r="C7" s="17" t="s">
        <v>95</v>
      </c>
      <c r="D7" s="17" t="s">
        <v>33</v>
      </c>
      <c r="J7" s="18" t="s">
        <v>34</v>
      </c>
    </row>
    <row r="8" spans="1:10" ht="30" customHeight="1" x14ac:dyDescent="0.25">
      <c r="B8" s="23" t="s">
        <v>96</v>
      </c>
      <c r="C8" s="26"/>
      <c r="D8" s="20" t="str">
        <f>IF(C8="","",IFERROR(IFERROR(IF(ABS(C8-9)&lt;0.01,"✓  Correct","✗  Try again"),"✗  Try again"),"✗  Try again"))</f>
        <v/>
      </c>
      <c r="J8" s="21" t="s">
        <v>97</v>
      </c>
    </row>
    <row r="9" spans="1:10" ht="15" customHeight="1" x14ac:dyDescent="0.25"/>
    <row r="10" spans="1:10" ht="24" customHeight="1" x14ac:dyDescent="0.25">
      <c r="A10" s="8" t="s">
        <v>98</v>
      </c>
      <c r="B10" s="8"/>
      <c r="C10" s="8"/>
      <c r="D10" s="8"/>
      <c r="E10" s="8"/>
    </row>
    <row r="11" spans="1:10" ht="43.5" customHeight="1" x14ac:dyDescent="0.25">
      <c r="B11" s="3" t="s">
        <v>99</v>
      </c>
      <c r="C11" s="3"/>
      <c r="D11" s="27"/>
      <c r="E11" s="27"/>
    </row>
    <row r="12" spans="1:10" ht="43.5" customHeight="1" x14ac:dyDescent="0.25">
      <c r="B12" s="3" t="s">
        <v>100</v>
      </c>
      <c r="C12" s="3"/>
      <c r="D12" s="27"/>
      <c r="E12" s="27"/>
    </row>
    <row r="13" spans="1:10" ht="43.5" customHeight="1" x14ac:dyDescent="0.25">
      <c r="B13" s="3" t="s">
        <v>101</v>
      </c>
      <c r="C13" s="3"/>
      <c r="D13" s="27"/>
      <c r="E13" s="27"/>
    </row>
    <row r="14" spans="1:10" ht="15" customHeight="1" x14ac:dyDescent="0.25"/>
    <row r="15" spans="1:10" ht="15" customHeight="1" x14ac:dyDescent="0.25"/>
    <row r="16" spans="1:10" ht="15" customHeight="1" x14ac:dyDescent="0.25"/>
    <row r="17" ht="15" customHeight="1" x14ac:dyDescent="0.25"/>
    <row r="18" ht="15" customHeight="1" x14ac:dyDescent="0.25"/>
    <row r="19" ht="15" customHeight="1" x14ac:dyDescent="0.25"/>
    <row r="20" ht="1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1">
    <mergeCell ref="B11:C11"/>
    <mergeCell ref="D11:E11"/>
    <mergeCell ref="B12:C12"/>
    <mergeCell ref="D12:E12"/>
    <mergeCell ref="B13:C13"/>
    <mergeCell ref="D13:E13"/>
    <mergeCell ref="A1:E1"/>
    <mergeCell ref="A2:E2"/>
    <mergeCell ref="A4:E4"/>
    <mergeCell ref="A6:E6"/>
    <mergeCell ref="A10:E10"/>
  </mergeCells>
  <conditionalFormatting sqref="D8">
    <cfRule type="expression" dxfId="1" priority="2">
      <formula>ISNUMBER(SEARCH("Correct",D8))</formula>
    </cfRule>
    <cfRule type="expression" dxfId="0" priority="3">
      <formula>ISNUMBER(SEARCH("Try",D8))</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8F00"/>
  </sheetPr>
  <dimension ref="A1:V1000"/>
  <sheetViews>
    <sheetView showGridLines="0" tabSelected="1" zoomScaleNormal="100" workbookViewId="0">
      <selection activeCell="E15" activeCellId="1" sqref="C6:C9 E15:E18"/>
    </sheetView>
  </sheetViews>
  <sheetFormatPr defaultColWidth="14.42578125" defaultRowHeight="15" x14ac:dyDescent="0.25"/>
  <cols>
    <col min="1" max="1" width="3" customWidth="1"/>
    <col min="2" max="2" width="50" customWidth="1"/>
    <col min="3" max="5" width="16" customWidth="1"/>
    <col min="6" max="6" width="40.28515625" customWidth="1"/>
    <col min="7" max="8" width="8.7109375" customWidth="1"/>
    <col min="10" max="22" width="3.42578125" customWidth="1"/>
  </cols>
  <sheetData>
    <row r="1" spans="1:22" ht="30" customHeight="1" x14ac:dyDescent="0.25">
      <c r="A1" s="11" t="s">
        <v>102</v>
      </c>
      <c r="B1" s="11"/>
      <c r="C1" s="11"/>
      <c r="D1" s="11"/>
      <c r="E1" s="11"/>
      <c r="F1" s="11"/>
      <c r="J1" s="12" t="s">
        <v>1</v>
      </c>
    </row>
    <row r="2" spans="1:22" ht="21.75" customHeight="1" x14ac:dyDescent="0.25">
      <c r="A2" s="10" t="s">
        <v>103</v>
      </c>
      <c r="B2" s="10"/>
      <c r="C2" s="10"/>
      <c r="D2" s="10"/>
      <c r="E2" s="10"/>
      <c r="F2" s="10"/>
      <c r="J2" s="13">
        <v>1</v>
      </c>
      <c r="K2" s="13">
        <v>2</v>
      </c>
      <c r="L2" s="13">
        <v>3</v>
      </c>
      <c r="M2" s="13">
        <v>4</v>
      </c>
      <c r="N2" s="14">
        <v>5</v>
      </c>
      <c r="O2" s="13">
        <v>6</v>
      </c>
      <c r="P2" s="13">
        <v>7</v>
      </c>
      <c r="Q2" s="13">
        <v>8</v>
      </c>
      <c r="R2" s="13">
        <v>9</v>
      </c>
      <c r="S2" s="13">
        <v>10</v>
      </c>
      <c r="T2" s="13">
        <v>11</v>
      </c>
      <c r="U2" s="13">
        <v>12</v>
      </c>
      <c r="V2" s="13">
        <v>13</v>
      </c>
    </row>
    <row r="3" spans="1:22" ht="15" customHeight="1" x14ac:dyDescent="0.25"/>
    <row r="4" spans="1:22" ht="24" customHeight="1" x14ac:dyDescent="0.25">
      <c r="A4" s="8" t="s">
        <v>104</v>
      </c>
      <c r="B4" s="8"/>
      <c r="C4" s="8"/>
      <c r="D4" s="8"/>
      <c r="E4" s="8"/>
      <c r="F4" s="8"/>
      <c r="G4" s="8"/>
      <c r="H4" s="8"/>
    </row>
    <row r="5" spans="1:22" ht="18" customHeight="1" x14ac:dyDescent="0.25">
      <c r="A5" s="9" t="s">
        <v>105</v>
      </c>
      <c r="B5" s="9"/>
      <c r="C5" s="9"/>
      <c r="D5" s="9"/>
      <c r="E5" s="9"/>
      <c r="F5" s="9"/>
      <c r="G5" s="9"/>
      <c r="H5" s="9"/>
    </row>
    <row r="6" spans="1:22" ht="24" customHeight="1" x14ac:dyDescent="0.25">
      <c r="C6" s="26"/>
      <c r="D6" s="3" t="s">
        <v>106</v>
      </c>
      <c r="E6" s="3"/>
      <c r="F6" s="3"/>
    </row>
    <row r="7" spans="1:22" ht="24" customHeight="1" x14ac:dyDescent="0.25">
      <c r="C7" s="26"/>
      <c r="D7" s="3" t="s">
        <v>107</v>
      </c>
      <c r="E7" s="3"/>
      <c r="F7" s="3"/>
    </row>
    <row r="8" spans="1:22" ht="24" customHeight="1" x14ac:dyDescent="0.25">
      <c r="C8" s="26"/>
      <c r="D8" s="3" t="s">
        <v>108</v>
      </c>
      <c r="E8" s="3"/>
      <c r="F8" s="3"/>
    </row>
    <row r="9" spans="1:22" ht="24" customHeight="1" x14ac:dyDescent="0.25">
      <c r="C9" s="26"/>
      <c r="D9" s="3" t="s">
        <v>109</v>
      </c>
      <c r="E9" s="3"/>
      <c r="F9" s="3"/>
    </row>
    <row r="10" spans="1:22" ht="24" customHeight="1" x14ac:dyDescent="0.25">
      <c r="C10" s="19"/>
      <c r="D10" s="3" t="s">
        <v>110</v>
      </c>
      <c r="E10" s="3"/>
      <c r="F10" s="3"/>
    </row>
    <row r="11" spans="1:22" ht="15" customHeight="1" x14ac:dyDescent="0.25"/>
    <row r="12" spans="1:22" ht="24" customHeight="1" x14ac:dyDescent="0.25">
      <c r="A12" s="8" t="s">
        <v>111</v>
      </c>
      <c r="B12" s="8"/>
      <c r="C12" s="8"/>
      <c r="D12" s="8"/>
      <c r="E12" s="8"/>
      <c r="F12" s="8"/>
      <c r="G12" s="8"/>
      <c r="H12" s="8"/>
    </row>
    <row r="13" spans="1:22" ht="18" customHeight="1" x14ac:dyDescent="0.25">
      <c r="A13" s="9" t="s">
        <v>112</v>
      </c>
      <c r="B13" s="9"/>
      <c r="C13" s="9"/>
      <c r="D13" s="9"/>
      <c r="E13" s="9"/>
      <c r="F13" s="9"/>
      <c r="G13" s="9"/>
      <c r="H13" s="9"/>
    </row>
    <row r="14" spans="1:22" ht="18" customHeight="1" x14ac:dyDescent="0.25">
      <c r="B14" s="4" t="s">
        <v>15</v>
      </c>
      <c r="C14" s="4"/>
      <c r="D14" s="4"/>
      <c r="E14" s="16" t="s">
        <v>113</v>
      </c>
    </row>
    <row r="15" spans="1:22" ht="21.75" customHeight="1" x14ac:dyDescent="0.25">
      <c r="B15" s="3" t="s">
        <v>17</v>
      </c>
      <c r="C15" s="3"/>
      <c r="D15" s="3"/>
      <c r="E15" s="26"/>
    </row>
    <row r="16" spans="1:22" ht="21.75" customHeight="1" x14ac:dyDescent="0.25">
      <c r="B16" s="3" t="s">
        <v>18</v>
      </c>
      <c r="C16" s="3"/>
      <c r="D16" s="3"/>
      <c r="E16" s="26"/>
    </row>
    <row r="17" spans="2:6" ht="21.75" customHeight="1" x14ac:dyDescent="0.25">
      <c r="B17" s="3" t="s">
        <v>19</v>
      </c>
      <c r="C17" s="3"/>
      <c r="D17" s="3"/>
      <c r="E17" s="26"/>
    </row>
    <row r="18" spans="2:6" ht="21.75" customHeight="1" x14ac:dyDescent="0.25">
      <c r="B18" s="3" t="s">
        <v>20</v>
      </c>
      <c r="C18" s="3"/>
      <c r="D18" s="3"/>
      <c r="E18" s="26"/>
    </row>
    <row r="19" spans="2:6" ht="15" customHeight="1" x14ac:dyDescent="0.25"/>
    <row r="20" spans="2:6" ht="15" customHeight="1" x14ac:dyDescent="0.25">
      <c r="B20" s="5" t="s">
        <v>114</v>
      </c>
      <c r="C20" s="5"/>
      <c r="D20" s="5"/>
      <c r="E20" s="5"/>
      <c r="F20" s="5"/>
    </row>
    <row r="21" spans="2:6" ht="15.75" customHeight="1" x14ac:dyDescent="0.25">
      <c r="B21" s="5"/>
      <c r="C21" s="5"/>
      <c r="D21" s="5"/>
      <c r="E21" s="5"/>
      <c r="F21" s="5"/>
    </row>
    <row r="22" spans="2:6" ht="15.75" customHeight="1" x14ac:dyDescent="0.25">
      <c r="B22" s="5"/>
      <c r="C22" s="5"/>
      <c r="D22" s="5"/>
      <c r="E22" s="5"/>
      <c r="F22" s="5"/>
    </row>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B18:D18"/>
    <mergeCell ref="B20:F22"/>
    <mergeCell ref="A13:H13"/>
    <mergeCell ref="B14:D14"/>
    <mergeCell ref="B15:D15"/>
    <mergeCell ref="B16:D16"/>
    <mergeCell ref="B17:D17"/>
    <mergeCell ref="D7:F7"/>
    <mergeCell ref="D8:F8"/>
    <mergeCell ref="D9:F9"/>
    <mergeCell ref="D10:F10"/>
    <mergeCell ref="A12:H12"/>
    <mergeCell ref="A1:F1"/>
    <mergeCell ref="A2:F2"/>
    <mergeCell ref="A4:H4"/>
    <mergeCell ref="A5:H5"/>
    <mergeCell ref="D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Task 1 - Append</vt:lpstr>
      <vt:lpstr>Task 2 - Merge</vt:lpstr>
      <vt:lpstr>Task 3 - Inner vs Left</vt:lpstr>
      <vt:lpstr>Support</vt:lpstr>
      <vt:lpstr>Stretch</vt:lpstr>
      <vt:lpstr>Confidence &amp;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Chittenden</cp:lastModifiedBy>
  <cp:revision>0</cp:revision>
  <dcterms:created xsi:type="dcterms:W3CDTF">2026-06-10T13:07:28Z</dcterms:created>
  <dcterms:modified xsi:type="dcterms:W3CDTF">2026-06-22T20:58:48Z</dcterms:modified>
  <dc:language>en-US</dc:language>
</cp:coreProperties>
</file>