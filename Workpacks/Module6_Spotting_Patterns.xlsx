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CHECKED\"/>
    </mc:Choice>
  </mc:AlternateContent>
  <xr:revisionPtr revIDLastSave="0" documentId="8_{87353D22-E971-4B37-80CE-BCF10D8C1694}" xr6:coauthVersionLast="47" xr6:coauthVersionMax="47" xr10:uidLastSave="{00000000-0000-0000-0000-000000000000}"/>
  <bookViews>
    <workbookView xWindow="28800" yWindow="390" windowWidth="29040" windowHeight="17280" tabRatio="630" activeTab="6" xr2:uid="{00000000-000D-0000-FFFF-FFFF00000000}"/>
  </bookViews>
  <sheets>
    <sheet name="Start Here" sheetId="1" r:id="rId1"/>
    <sheet name="Task 1 - Sort &amp; Spot" sheetId="2" r:id="rId2"/>
    <sheet name="Task 2 - Group &amp; Count" sheetId="3" r:id="rId3"/>
    <sheet name="Task 3 - Totals &amp; Compare" sheetId="4" r:id="rId4"/>
    <sheet name="Support" sheetId="5" r:id="rId5"/>
    <sheet name="Stretch" sheetId="6" r:id="rId6"/>
    <sheet name="Confidence &amp; Next Step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8" i="6" l="1"/>
  <c r="G16" i="4"/>
  <c r="G15" i="4"/>
  <c r="G14" i="4"/>
  <c r="G19" i="3"/>
  <c r="G18" i="3"/>
  <c r="G17" i="3"/>
  <c r="G17" i="2"/>
  <c r="G16" i="2"/>
</calcChain>
</file>

<file path=xl/sharedStrings.xml><?xml version="1.0" encoding="utf-8"?>
<sst xmlns="http://schemas.openxmlformats.org/spreadsheetml/2006/main" count="126" uniqueCount="105">
  <si>
    <t>Module 6  -  Spotting Simple Patterns</t>
  </si>
  <si>
    <t>YOUR JOURNEY</t>
  </si>
  <si>
    <t>Read the blended data for simple trends and findings  -  Self-paced</t>
  </si>
  <si>
    <t>You've imported, cleaned, shaped and blended the data. The final basic skill is reading it for simple patterns - the most common this, the biggest that, the busier period - and noticing anything that stands out. These are the findings a data technician hands on for deeper analysis. You'll use three easy tools: Sort, Group By, and simple totals.</t>
  </si>
  <si>
    <t>What you'll do in this module</t>
  </si>
  <si>
    <t>•  SORT a column to find the biggest, smallest, earliest or latest - and spot anything odd.</t>
  </si>
  <si>
    <t>•  GROUP BY a column and count, to see which categories are most common.</t>
  </si>
  <si>
    <t>•  Read simple TOTALS and comparisons, and write the findings in plain words.</t>
  </si>
  <si>
    <t>A gentle warning about patterns</t>
  </si>
  <si>
    <t>Spotting a pattern is not the same as explaining WHY it happens. Note what you SEE ('Swimming is booked most'), and leave the 'because...' to deeper analysis. Honest, careful description is exactly what's wanted here.</t>
  </si>
  <si>
    <t>Before you start</t>
  </si>
  <si>
    <t>This is the satisfying part - your clean, blended data finally tells you something. There are no trick questions; you're just looking carefully. Breathe (in 4, hold 4, out 6), be curious, and write down what you genuinely see.</t>
  </si>
  <si>
    <t>Your confidence baseline  (1 = not yet, 5 = confident)</t>
  </si>
  <si>
    <t>Statement</t>
  </si>
  <si>
    <t>Rating (1-5)</t>
  </si>
  <si>
    <t>I can sort data to find highest/lowest and spot odd values</t>
  </si>
  <si>
    <t>I can use Group By to count how common each category is</t>
  </si>
  <si>
    <t>I can read totals and compare groups</t>
  </si>
  <si>
    <t>I can state a simple pattern in plain words, without over-claiming</t>
  </si>
  <si>
    <t>Task 1 - Sort to spot extremes</t>
  </si>
  <si>
    <t>Payments  -  find the biggest payment and judge it</t>
  </si>
  <si>
    <t>Sorting lines data up from highest to lowest (or A-Z, or earliest to latest), which instantly shows the extremes - and anything that doesn't belong. Sort the payments by Amount and look at the top.</t>
  </si>
  <si>
    <t>Step by step</t>
  </si>
  <si>
    <t>①  Open your Payments query (or load it to a sheet to look at it).</t>
  </si>
  <si>
    <t>②  Click the dropdown arrow on the 'Amount' column heading.</t>
  </si>
  <si>
    <t>③  Choose 'Sort Descending' (largest first).</t>
  </si>
  <si>
    <t>④  Look at the top value. Ask yourself: does it fit with the others, or is it unusually large?</t>
  </si>
  <si>
    <t>Check it</t>
  </si>
  <si>
    <t>Question</t>
  </si>
  <si>
    <t>Your answer</t>
  </si>
  <si>
    <t>Check</t>
  </si>
  <si>
    <t>💡 Hints — try before you peek</t>
  </si>
  <si>
    <t>What is the largest single payment amount?</t>
  </si>
  <si>
    <t>Sort Amount descending and read the top — or try =MAX(range).</t>
  </si>
  <si>
    <t>Most payments are £20-£55. Is that top value normal, or an outlier to investigate? (one word)</t>
  </si>
  <si>
    <t>Compare the top value against the 20-55 everyone else pays. Does it belong?</t>
  </si>
  <si>
    <t>💡  Spotting an outlier is a real finding. You don't fix or delete it here - you NOTE it ('one payment of 350 is far above the rest - worth checking'). That note is what you'd pass on.</t>
  </si>
  <si>
    <t>Task 2 - Group and count</t>
  </si>
  <si>
    <t>Bookings (Jan + Feb)  -  which activity is most popular?</t>
  </si>
  <si>
    <t>'Group By' collapses rows into one line per category and counts them - the quickest way to see what's most and least common. Use your appended Bookings_All table from Module 5.</t>
  </si>
  <si>
    <t>①  Open the Bookings_All query (the appended Jan + Feb table) in the Power Query Editor.</t>
  </si>
  <si>
    <t>②  Home tab &gt; Group By.</t>
  </si>
  <si>
    <t>③  Group by 'Activity'. For the operation choose 'Count Rows' and name it 'Bookings'.</t>
  </si>
  <si>
    <t>④  Click OK. You get one row per activity with its count.</t>
  </si>
  <si>
    <t>⑤  Click the new 'Bookings' column dropdown &gt; Sort Descending to put the most popular at the top.</t>
  </si>
  <si>
    <t>Which activity is booked most often? (one word)</t>
  </si>
  <si>
    <t>Group By Activity with Count Rows, sort descending — the answer is the top row.</t>
  </si>
  <si>
    <t>How many Swimming bookings are there in total (Jan + Feb)?</t>
  </si>
  <si>
    <t>Read the Swimming row of your grouped table — or =COUNTIF(C5:C32,"Swimming").</t>
  </si>
  <si>
    <t>How many different activities are there?</t>
  </si>
  <si>
    <t>Count the rows of your grouped table — or challenge: =SUMPRODUCT(1/COUNTIF(range,range)).</t>
  </si>
  <si>
    <t>💡  Group By + Count is the engine behind most 'top 10' or 'most common' findings you'll ever produce.</t>
  </si>
  <si>
    <t>Task 3 - Totals and comparisons</t>
  </si>
  <si>
    <t>Read the headline numbers and compare two groups</t>
  </si>
  <si>
    <t>The simplest patterns are often just totals and a comparison. Use Group By (Count Rows / Sum) or load to a sheet and use COUNT/SUM/AVERAGE.</t>
  </si>
  <si>
    <t>①  Total bookings: the row count of Bookings_All (Jan + Feb together).</t>
  </si>
  <si>
    <t>②  Busier month: you appended 20 January rows and 8 February rows - compare them.</t>
  </si>
  <si>
    <t>③  Longest session: sort DurationMins descending, or Group By to see the maximum.</t>
  </si>
  <si>
    <t>④  Write each finding as a short plain sentence in your notes.</t>
  </si>
  <si>
    <t>How many bookings are there in total (Jan + Feb)?</t>
  </si>
  <si>
    <t>The row count of Bookings_All — or =COUNTA(A5:A32).</t>
  </si>
  <si>
    <t>Which month was busier for bookings - January or February?</t>
  </si>
  <si>
    <t>20 January rows vs 8 February rows — which month wins?</t>
  </si>
  <si>
    <t>What is the longest single session length, in minutes?</t>
  </si>
  <si>
    <t>Try =MAX(E5:E32) — or sort DurationMins descending.</t>
  </si>
  <si>
    <t>💡  Notice you're describing, not explaining: 'January was busier than February (20 vs 8)'. Why? That's for the next stage - you just report what's there.</t>
  </si>
  <si>
    <t>Support - quick reference</t>
  </si>
  <si>
    <t>How to do each pattern task.</t>
  </si>
  <si>
    <t>Sort a column</t>
  </si>
  <si>
    <t>Click the column heading's dropdown arrow &gt; Sort Ascending or Sort Descending. (In a sheet: Data &gt; Sort.)</t>
  </si>
  <si>
    <t>Group By and count</t>
  </si>
  <si>
    <t>Power Query: Home &gt; Group By &gt; pick the column &gt; Operation 'Count Rows' &gt; name it &gt; OK.</t>
  </si>
  <si>
    <t>Group By and sum</t>
  </si>
  <si>
    <t>Same dialog, Operation 'Sum' on a number column (e.g. total DurationMins or Amount).</t>
  </si>
  <si>
    <t>Count / total in a sheet</t>
  </si>
  <si>
    <t>Use COUNTA(range) to count, SUM(range) to total, AVERAGE(range) for the mean, MAX / MIN for extremes. (Type the = sign in front when you enter these in Excel.)</t>
  </si>
  <si>
    <t>Make a quick chart</t>
  </si>
  <si>
    <t>Load the grouped table to a sheet &gt; select it &gt; Insert &gt; Recommended Charts &gt; a simple bar chart shows the pattern at a glance.</t>
  </si>
  <si>
    <t>Spotting an outlier</t>
  </si>
  <si>
    <t>After sorting, a value far above/below the rest is an outlier - NOTE it, don't silently change it.</t>
  </si>
  <si>
    <t>Stretch - towards Distinction</t>
  </si>
  <si>
    <t>Describe carefully; resist over-claiming.</t>
  </si>
  <si>
    <t>Distinction is reporting patterns precisely and knowing the limits of what they show.</t>
  </si>
  <si>
    <t>A harder pattern (self-marked)</t>
  </si>
  <si>
    <t>Answer</t>
  </si>
  <si>
    <t>Group the payments by Method and total the Amount. What is the total of all payments combined (the grand total)?</t>
  </si>
  <si>
    <t>Group by Method with Sum of Amount — the Grand Total is the three subtotals added. Or =SUM the whole column.</t>
  </si>
  <si>
    <t>(That grand total still includes the 350 outlier - note how one odd value can distort a total.)</t>
  </si>
  <si>
    <t>Reasoning prompts (write your own - no marking)</t>
  </si>
  <si>
    <t>'Swimming is most popular AND January was busier.' Why can't you conclude that swimming causes busy months?</t>
  </si>
  <si>
    <t>Your grand total of payments is pulled up by one 350 outlier. Would the AVERAGE or the MEDIAN better describe a 'typical' payment, and why?</t>
  </si>
  <si>
    <t>You found 3 patterns. Which ONE would you put first when handing findings to a manager, and why?</t>
  </si>
  <si>
    <t>Confidence &amp; Next Steps</t>
  </si>
  <si>
    <t>You've completed the first six modules</t>
  </si>
  <si>
    <t>Mastery gate - tick all of these to finish the set</t>
  </si>
  <si>
    <t>Type x in each yellow box you can tick.</t>
  </si>
  <si>
    <t>I sorted data to find extremes and spotted the outlier payment</t>
  </si>
  <si>
    <t>I used Group By to count the most common activity</t>
  </si>
  <si>
    <t>I read totals and compared January with February</t>
  </si>
  <si>
    <t>I stated my findings in plain words without over-claiming</t>
  </si>
  <si>
    <t>I can explain the difference between describing a pattern and explaining it</t>
  </si>
  <si>
    <t>Re-rate your confidence (compare with your baseline)</t>
  </si>
  <si>
    <t>Seeing these rise from your Module 6 baseline is the goal.</t>
  </si>
  <si>
    <t>Now (1-5)</t>
  </si>
  <si>
    <t>Well done - that's the full Scenario 1 journey: import, clean, shape, blend, and spot patterns, all on one continuous data set. Next up - Module 7: The Basics. You'll switch to worksheet formulas (SUM, AVERAGE, COUNT, MIN, MAX, MEDIAN, MODE) on the blended data you just built - the foundation of the analysis block (Modules 7-13).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</si>
</sst>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charset val="1"/>
    </font>
    <font>
      <b/>
      <sz val="18"/>
      <color rgb="FFFFFFFF"/>
      <name val="Arial"/>
      <family val="2"/>
    </font>
    <font>
      <b/>
      <sz val="7"/>
      <color rgb="FF8C8C8C"/>
      <name val="Arial"/>
      <family val="2"/>
    </font>
    <font>
      <sz val="11"/>
      <color rgb="FFFFFFFF"/>
      <name val="Arial"/>
      <family val="2"/>
    </font>
    <font>
      <sz val="8"/>
      <color rgb="FF595959"/>
      <name val="Arial"/>
      <family val="2"/>
    </font>
    <font>
      <b/>
      <sz val="8"/>
      <color rgb="FFFFFFFF"/>
      <name val="Arial"/>
      <family val="2"/>
    </font>
    <font>
      <sz val="11"/>
      <color rgb="FF000000"/>
      <name val="Arial"/>
      <family val="2"/>
    </font>
    <font>
      <b/>
      <sz val="12"/>
      <color rgb="FF1F3B57"/>
      <name val="Arial"/>
      <family val="2"/>
    </font>
    <font>
      <sz val="11"/>
      <color rgb="FF006100"/>
      <name val="Arial"/>
      <family val="2"/>
    </font>
    <font>
      <b/>
      <sz val="10.5"/>
      <color rgb="FFFFFFFF"/>
      <name val="Arial"/>
      <family val="2"/>
    </font>
    <font>
      <b/>
      <sz val="10"/>
      <color rgb="FF1F6B6B"/>
      <name val="Arial"/>
      <family val="2"/>
    </font>
    <font>
      <b/>
      <sz val="11"/>
      <name val="Arial"/>
      <family val="2"/>
    </font>
    <font>
      <i/>
      <sz val="9.5"/>
      <color rgb="FF3F6363"/>
      <name val="Arial"/>
      <family val="2"/>
    </font>
    <font>
      <sz val="10.5"/>
      <color rgb="FF5B4A1F"/>
      <name val="Arial"/>
      <family val="2"/>
    </font>
    <font>
      <b/>
      <sz val="11"/>
      <color rgb="FF1F3B57"/>
      <name val="Arial"/>
      <family val="2"/>
    </font>
    <font>
      <sz val="11"/>
      <color rgb="FF2E8B8B"/>
      <name val="Arial"/>
      <family val="2"/>
    </font>
  </fonts>
  <fills count="10">
    <fill>
      <patternFill patternType="none"/>
    </fill>
    <fill>
      <patternFill patternType="gray125"/>
    </fill>
    <fill>
      <patternFill patternType="solid">
        <fgColor rgb="FF1F3B57"/>
        <bgColor rgb="FF003366"/>
      </patternFill>
    </fill>
    <fill>
      <patternFill patternType="solid">
        <fgColor rgb="FF2E8B8B"/>
        <bgColor rgb="FF2E75B6"/>
      </patternFill>
    </fill>
    <fill>
      <patternFill patternType="solid">
        <fgColor rgb="FFE2E6EA"/>
        <bgColor rgb="FFEAF2F2"/>
      </patternFill>
    </fill>
    <fill>
      <patternFill patternType="solid">
        <fgColor rgb="FFEAF2F2"/>
        <bgColor rgb="FFEFF6F6"/>
      </patternFill>
    </fill>
    <fill>
      <patternFill patternType="solid">
        <fgColor rgb="FFC6EFCE"/>
        <bgColor rgb="FFE2E6EA"/>
      </patternFill>
    </fill>
    <fill>
      <patternFill patternType="solid">
        <fgColor rgb="FFFFF3C4"/>
        <bgColor rgb="FFFDF4E3"/>
      </patternFill>
    </fill>
    <fill>
      <patternFill patternType="solid">
        <fgColor rgb="FFEFF6F6"/>
        <bgColor rgb="FFF5F5F5"/>
      </patternFill>
    </fill>
    <fill>
      <patternFill patternType="solid">
        <fgColor rgb="FFFDF4E3"/>
        <bgColor rgb="FFF5F5F5"/>
      </patternFill>
    </fill>
  </fills>
  <borders count="9">
    <border>
      <left/>
      <right/>
      <top/>
      <bottom/>
      <diagonal/>
    </border>
    <border>
      <left/>
      <right/>
      <top/>
      <bottom style="medium">
        <color rgb="FF2E8B8B"/>
      </bottom>
      <diagonal/>
    </border>
    <border>
      <left style="thick">
        <color rgb="FF2E8B8B"/>
      </left>
      <right/>
      <top/>
      <bottom/>
      <diagonal/>
    </border>
    <border>
      <left style="thick">
        <color rgb="FF2E8B8B"/>
      </left>
      <right/>
      <top style="thin">
        <color rgb="FFBFBFBF"/>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2E8B8B"/>
      </left>
      <right style="hair">
        <color rgb="FF9DC3C3"/>
      </right>
      <top style="hair">
        <color rgb="FF9DC3C3"/>
      </top>
      <bottom style="hair">
        <color rgb="FF9DC3C3"/>
      </bottom>
      <diagonal/>
    </border>
    <border>
      <left style="thick">
        <color rgb="FFE8A33D"/>
      </left>
      <right/>
      <top/>
      <bottom/>
      <diagonal/>
    </border>
  </borders>
  <cellStyleXfs count="1">
    <xf numFmtId="0" fontId="0" fillId="0" borderId="0"/>
  </cellStyleXfs>
  <cellXfs count="28">
    <xf numFmtId="0" fontId="0" fillId="0" borderId="0" xfId="0"/>
    <xf numFmtId="0" fontId="15" fillId="0" borderId="0" xfId="0" applyFont="1" applyAlignment="1">
      <alignment vertical="top" wrapText="1"/>
    </xf>
    <xf numFmtId="0" fontId="13" fillId="9" borderId="8" xfId="0" applyFont="1" applyFill="1" applyBorder="1" applyAlignment="1">
      <alignment vertical="top" wrapText="1"/>
    </xf>
    <xf numFmtId="0" fontId="9" fillId="2" borderId="0" xfId="0" applyFont="1" applyFill="1" applyAlignment="1">
      <alignment horizontal="left" vertical="center" wrapText="1" indent="1"/>
    </xf>
    <xf numFmtId="0" fontId="6" fillId="0" borderId="5" xfId="0" applyFont="1" applyBorder="1" applyAlignment="1">
      <alignment vertical="top" wrapText="1"/>
    </xf>
    <xf numFmtId="0" fontId="9" fillId="2" borderId="0" xfId="0" applyFont="1" applyFill="1" applyAlignment="1">
      <alignment vertical="center" wrapText="1" indent="1"/>
    </xf>
    <xf numFmtId="0" fontId="8" fillId="6" borderId="4" xfId="0" applyFont="1" applyFill="1" applyBorder="1" applyAlignment="1">
      <alignment vertical="top" wrapText="1"/>
    </xf>
    <xf numFmtId="0" fontId="6" fillId="5" borderId="3" xfId="0" applyFont="1" applyFill="1" applyBorder="1" applyAlignment="1">
      <alignment vertical="center" wrapText="1" indent="1"/>
    </xf>
    <xf numFmtId="0" fontId="7" fillId="5" borderId="2" xfId="0" applyFont="1" applyFill="1" applyBorder="1" applyAlignment="1">
      <alignment vertical="center" indent="1"/>
    </xf>
    <xf numFmtId="0" fontId="6" fillId="0" borderId="0" xfId="0" applyFont="1" applyAlignment="1">
      <alignment vertical="top" wrapText="1"/>
    </xf>
    <xf numFmtId="0" fontId="3" fillId="3" borderId="1" xfId="0" applyFont="1" applyFill="1" applyBorder="1" applyAlignment="1">
      <alignment horizontal="left" vertical="center"/>
    </xf>
    <xf numFmtId="0" fontId="1" fillId="2" borderId="0" xfId="0" applyFont="1" applyFill="1" applyAlignment="1">
      <alignment horizontal="left" vertical="center"/>
    </xf>
    <xf numFmtId="0" fontId="2" fillId="0" borderId="0" xfId="0" applyFont="1"/>
    <xf numFmtId="0" fontId="4" fillId="4" borderId="0" xfId="0" applyFont="1" applyFill="1" applyAlignment="1">
      <alignment horizontal="center" vertical="center"/>
    </xf>
    <xf numFmtId="0" fontId="5" fillId="3" borderId="0" xfId="0" applyFont="1" applyFill="1" applyAlignment="1">
      <alignment horizontal="center" vertical="center"/>
    </xf>
    <xf numFmtId="0" fontId="6" fillId="0" borderId="0" xfId="0" applyFont="1" applyAlignment="1">
      <alignment vertical="top" wrapText="1"/>
    </xf>
    <xf numFmtId="0" fontId="9" fillId="2" borderId="0" xfId="0" applyFont="1" applyFill="1" applyAlignment="1">
      <alignment vertical="center" wrapText="1"/>
    </xf>
    <xf numFmtId="0" fontId="9" fillId="2" borderId="0" xfId="0" applyFont="1" applyFill="1" applyAlignment="1">
      <alignment horizontal="center" vertical="center" wrapText="1"/>
    </xf>
    <xf numFmtId="0" fontId="10" fillId="0" borderId="0" xfId="0" applyFont="1" applyAlignment="1">
      <alignment vertical="center"/>
    </xf>
    <xf numFmtId="0" fontId="0" fillId="7" borderId="6" xfId="0" applyFill="1" applyBorder="1" applyAlignment="1">
      <alignment horizontal="center" vertical="center"/>
    </xf>
    <xf numFmtId="0" fontId="11" fillId="0" borderId="6" xfId="0" applyFont="1" applyBorder="1" applyAlignment="1">
      <alignment horizontal="center" vertical="center"/>
    </xf>
    <xf numFmtId="0" fontId="12" fillId="8" borderId="7" xfId="0" applyFont="1" applyFill="1" applyBorder="1" applyAlignment="1">
      <alignment vertical="top" wrapText="1"/>
    </xf>
    <xf numFmtId="0" fontId="14" fillId="0" borderId="6" xfId="0" applyFont="1" applyBorder="1" applyAlignment="1">
      <alignment vertical="top" wrapText="1"/>
    </xf>
    <xf numFmtId="0" fontId="6" fillId="0" borderId="6" xfId="0" applyFont="1" applyBorder="1" applyAlignment="1">
      <alignment vertical="top" wrapText="1"/>
    </xf>
    <xf numFmtId="0" fontId="9" fillId="2" borderId="0" xfId="0" applyFont="1" applyFill="1" applyAlignment="1">
      <alignment horizontal="center" vertical="center" wrapText="1" indent="1"/>
    </xf>
    <xf numFmtId="0" fontId="0" fillId="7" borderId="5" xfId="0" applyFill="1" applyBorder="1" applyAlignment="1" applyProtection="1">
      <alignment horizontal="center" vertical="center"/>
      <protection locked="0"/>
    </xf>
    <xf numFmtId="0" fontId="0" fillId="7" borderId="6" xfId="0" applyFill="1" applyBorder="1" applyAlignment="1" applyProtection="1">
      <alignment horizontal="center" vertical="center"/>
      <protection locked="0"/>
    </xf>
    <xf numFmtId="0" fontId="0" fillId="7" borderId="5" xfId="0" applyFill="1" applyBorder="1" applyAlignment="1" applyProtection="1">
      <alignment vertical="top" wrapText="1"/>
      <protection locked="0"/>
    </xf>
  </cellXfs>
  <cellStyles count="1">
    <cellStyle name="Normal" xfId="0" builtinId="0"/>
  </cellStyles>
  <dxfs count="8">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1F6B6B"/>
      <rgbColor rgb="FFBFBFBF"/>
      <rgbColor rgb="FF7F7F7F"/>
      <rgbColor rgb="FF9999FF"/>
      <rgbColor rgb="FF7030A0"/>
      <rgbColor rgb="FFFFF3C4"/>
      <rgbColor rgb="FFEAF2F2"/>
      <rgbColor rgb="FF660066"/>
      <rgbColor rgb="FFFF8080"/>
      <rgbColor rgb="FF0066CC"/>
      <rgbColor rgb="FFE2E6EA"/>
      <rgbColor rgb="FF000080"/>
      <rgbColor rgb="FFFF00FF"/>
      <rgbColor rgb="FFFFFF00"/>
      <rgbColor rgb="FF00FFFF"/>
      <rgbColor rgb="FF800080"/>
      <rgbColor rgb="FF800000"/>
      <rgbColor rgb="FF008080"/>
      <rgbColor rgb="FF0000FF"/>
      <rgbColor rgb="FF00CCFF"/>
      <rgbColor rgb="FFEFF6F6"/>
      <rgbColor rgb="FFC6EFCE"/>
      <rgbColor rgb="FFFDF4E3"/>
      <rgbColor rgb="FF9DC3C3"/>
      <rgbColor rgb="FFF5F5F5"/>
      <rgbColor rgb="FFCC99FF"/>
      <rgbColor rgb="FFFFC7CE"/>
      <rgbColor rgb="FF2E75B6"/>
      <rgbColor rgb="FF33CCCC"/>
      <rgbColor rgb="FF99CC00"/>
      <rgbColor rgb="FFFFCC00"/>
      <rgbColor rgb="FFE8A33D"/>
      <rgbColor rgb="FFBF8F00"/>
      <rgbColor rgb="FF595959"/>
      <rgbColor rgb="FF8C8C8C"/>
      <rgbColor rgb="FF003366"/>
      <rgbColor rgb="FF2E8B8B"/>
      <rgbColor rgb="FF003300"/>
      <rgbColor rgb="FF5B4A1F"/>
      <rgbColor rgb="FF993300"/>
      <rgbColor rgb="FF993366"/>
      <rgbColor rgb="FF3F6363"/>
      <rgbColor rgb="FF1F3B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9</xdr:col>
      <xdr:colOff>2647950</xdr:colOff>
      <xdr:row>12</xdr:row>
      <xdr:rowOff>2209027</xdr:rowOff>
    </xdr:to>
    <xdr:pic>
      <xdr:nvPicPr>
        <xdr:cNvPr id="2" name="Picture 1">
          <a:extLst>
            <a:ext uri="{FF2B5EF4-FFF2-40B4-BE49-F238E27FC236}">
              <a16:creationId xmlns:a16="http://schemas.microsoft.com/office/drawing/2014/main" id="{BCBDFF14-938A-1CD3-1043-C7327158DC4B}"/>
            </a:ext>
          </a:extLst>
        </xdr:cNvPr>
        <xdr:cNvPicPr>
          <a:picLocks noChangeAspect="1"/>
        </xdr:cNvPicPr>
      </xdr:nvPicPr>
      <xdr:blipFill>
        <a:blip xmlns:r="http://schemas.openxmlformats.org/officeDocument/2006/relationships" r:embed="rId1"/>
        <a:stretch>
          <a:fillRect/>
        </a:stretch>
      </xdr:blipFill>
      <xdr:spPr>
        <a:xfrm>
          <a:off x="200025" y="3038475"/>
          <a:ext cx="10086975" cy="6123802"/>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7</xdr:col>
      <xdr:colOff>227771</xdr:colOff>
      <xdr:row>12</xdr:row>
      <xdr:rowOff>2961905</xdr:rowOff>
    </xdr:to>
    <xdr:pic>
      <xdr:nvPicPr>
        <xdr:cNvPr id="2" name="Picture 1">
          <a:extLst>
            <a:ext uri="{FF2B5EF4-FFF2-40B4-BE49-F238E27FC236}">
              <a16:creationId xmlns:a16="http://schemas.microsoft.com/office/drawing/2014/main" id="{5A2522F1-6C27-DA8F-455D-25A235A48838}"/>
            </a:ext>
          </a:extLst>
        </xdr:cNvPr>
        <xdr:cNvPicPr>
          <a:picLocks noChangeAspect="1"/>
        </xdr:cNvPicPr>
      </xdr:nvPicPr>
      <xdr:blipFill>
        <a:blip xmlns:r="http://schemas.openxmlformats.org/officeDocument/2006/relationships" r:embed="rId1"/>
        <a:stretch>
          <a:fillRect/>
        </a:stretch>
      </xdr:blipFill>
      <xdr:spPr>
        <a:xfrm>
          <a:off x="200025" y="3267075"/>
          <a:ext cx="6628571" cy="2961905"/>
        </a:xfrm>
        <a:prstGeom prst="rect">
          <a:avLst/>
        </a:prstGeom>
        <a:ln>
          <a:solidFill>
            <a:schemeClr val="accent1"/>
          </a:solid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sheetPr>
  <dimension ref="A1:V1000"/>
  <sheetViews>
    <sheetView showGridLines="0" zoomScaleNormal="100" workbookViewId="0">
      <selection activeCell="G22" sqref="G22:H22"/>
    </sheetView>
  </sheetViews>
  <sheetFormatPr defaultColWidth="14.42578125" defaultRowHeight="15" x14ac:dyDescent="0.25"/>
  <cols>
    <col min="1" max="1" width="3" customWidth="1"/>
    <col min="2" max="2" width="24" customWidth="1"/>
    <col min="3" max="5" width="14" customWidth="1"/>
    <col min="6" max="6" width="16" customWidth="1"/>
    <col min="7" max="7" width="14" customWidth="1"/>
    <col min="8" max="8" width="16" customWidth="1"/>
    <col min="10" max="22" width="3.42578125" customWidth="1"/>
  </cols>
  <sheetData>
    <row r="1" spans="1:22" ht="30" customHeight="1" x14ac:dyDescent="0.25">
      <c r="A1" s="11" t="s">
        <v>0</v>
      </c>
      <c r="B1" s="11"/>
      <c r="C1" s="11"/>
      <c r="D1" s="11"/>
      <c r="E1" s="11"/>
      <c r="F1" s="11"/>
      <c r="G1" s="11"/>
      <c r="H1" s="11"/>
      <c r="J1" s="12" t="s">
        <v>1</v>
      </c>
    </row>
    <row r="2" spans="1:22" ht="21.75" customHeight="1" x14ac:dyDescent="0.25">
      <c r="A2" s="10" t="s">
        <v>2</v>
      </c>
      <c r="B2" s="10"/>
      <c r="C2" s="10"/>
      <c r="D2" s="10"/>
      <c r="E2" s="10"/>
      <c r="F2" s="10"/>
      <c r="G2" s="10"/>
      <c r="H2" s="10"/>
      <c r="J2" s="13">
        <v>1</v>
      </c>
      <c r="K2" s="13">
        <v>2</v>
      </c>
      <c r="L2" s="13">
        <v>3</v>
      </c>
      <c r="M2" s="13">
        <v>4</v>
      </c>
      <c r="N2" s="13">
        <v>5</v>
      </c>
      <c r="O2" s="14">
        <v>6</v>
      </c>
      <c r="P2" s="13">
        <v>7</v>
      </c>
      <c r="Q2" s="13">
        <v>8</v>
      </c>
      <c r="R2" s="13">
        <v>9</v>
      </c>
      <c r="S2" s="13">
        <v>10</v>
      </c>
      <c r="T2" s="13">
        <v>11</v>
      </c>
      <c r="U2" s="13">
        <v>12</v>
      </c>
      <c r="V2" s="13">
        <v>13</v>
      </c>
    </row>
    <row r="4" spans="1:22" ht="57.75" customHeight="1" x14ac:dyDescent="0.25">
      <c r="A4" s="9" t="s">
        <v>3</v>
      </c>
      <c r="B4" s="9"/>
      <c r="C4" s="9"/>
      <c r="D4" s="9"/>
      <c r="E4" s="9"/>
      <c r="F4" s="9"/>
      <c r="G4" s="9"/>
      <c r="H4" s="9"/>
    </row>
    <row r="6" spans="1:22" ht="24" customHeight="1" x14ac:dyDescent="0.25">
      <c r="A6" s="8" t="s">
        <v>4</v>
      </c>
      <c r="B6" s="8"/>
      <c r="C6" s="8"/>
      <c r="D6" s="8"/>
      <c r="E6" s="8"/>
      <c r="F6" s="8"/>
      <c r="G6" s="8"/>
      <c r="H6" s="8"/>
    </row>
    <row r="7" spans="1:22" ht="15.75" customHeight="1" x14ac:dyDescent="0.25">
      <c r="A7" s="9" t="s">
        <v>5</v>
      </c>
      <c r="B7" s="9"/>
      <c r="C7" s="9"/>
      <c r="D7" s="9"/>
      <c r="E7" s="9"/>
      <c r="F7" s="9"/>
      <c r="G7" s="9"/>
      <c r="H7" s="9"/>
    </row>
    <row r="8" spans="1:22" ht="15.75" customHeight="1" x14ac:dyDescent="0.25">
      <c r="A8" s="9" t="s">
        <v>6</v>
      </c>
      <c r="B8" s="9"/>
      <c r="C8" s="9"/>
      <c r="D8" s="9"/>
      <c r="E8" s="9"/>
      <c r="F8" s="9"/>
      <c r="G8" s="9"/>
      <c r="H8" s="9"/>
    </row>
    <row r="9" spans="1:22" ht="15.75" customHeight="1" x14ac:dyDescent="0.25">
      <c r="A9" s="9" t="s">
        <v>7</v>
      </c>
      <c r="B9" s="9"/>
      <c r="C9" s="9"/>
      <c r="D9" s="9"/>
      <c r="E9" s="9"/>
      <c r="F9" s="9"/>
      <c r="G9" s="9"/>
      <c r="H9" s="9"/>
    </row>
    <row r="11" spans="1:22" ht="24" customHeight="1" x14ac:dyDescent="0.25">
      <c r="A11" s="8" t="s">
        <v>8</v>
      </c>
      <c r="B11" s="8"/>
      <c r="C11" s="8"/>
      <c r="D11" s="8"/>
      <c r="E11" s="8"/>
      <c r="F11" s="8"/>
      <c r="G11" s="8"/>
      <c r="H11" s="8"/>
    </row>
    <row r="12" spans="1:22" ht="19.5" customHeight="1" x14ac:dyDescent="0.25">
      <c r="B12" s="7" t="s">
        <v>9</v>
      </c>
      <c r="C12" s="7"/>
      <c r="D12" s="7"/>
      <c r="E12" s="7"/>
      <c r="F12" s="7"/>
      <c r="G12" s="7"/>
      <c r="H12" s="7"/>
    </row>
    <row r="13" spans="1:22" ht="15" customHeight="1" x14ac:dyDescent="0.25">
      <c r="B13" s="7"/>
      <c r="C13" s="7"/>
      <c r="D13" s="7"/>
      <c r="E13" s="7"/>
      <c r="F13" s="7"/>
      <c r="G13" s="7"/>
      <c r="H13" s="7"/>
    </row>
    <row r="15" spans="1:22" ht="24" customHeight="1" x14ac:dyDescent="0.25">
      <c r="A15" s="8" t="s">
        <v>10</v>
      </c>
      <c r="B15" s="8"/>
      <c r="C15" s="8"/>
      <c r="D15" s="8"/>
      <c r="E15" s="8"/>
      <c r="F15" s="8"/>
      <c r="G15" s="8"/>
      <c r="H15" s="8"/>
    </row>
    <row r="16" spans="1:22" ht="15" customHeight="1" x14ac:dyDescent="0.25">
      <c r="B16" s="6" t="s">
        <v>11</v>
      </c>
      <c r="C16" s="6"/>
      <c r="D16" s="6"/>
      <c r="E16" s="6"/>
      <c r="F16" s="6"/>
      <c r="G16" s="6"/>
      <c r="H16" s="6"/>
    </row>
    <row r="17" spans="1:8" ht="15" customHeight="1" x14ac:dyDescent="0.25">
      <c r="B17" s="6"/>
      <c r="C17" s="6"/>
      <c r="D17" s="6"/>
      <c r="E17" s="6"/>
      <c r="F17" s="6"/>
      <c r="G17" s="6"/>
      <c r="H17" s="6"/>
    </row>
    <row r="18" spans="1:8" ht="15" customHeight="1" x14ac:dyDescent="0.25">
      <c r="B18" s="6"/>
      <c r="C18" s="6"/>
      <c r="D18" s="6"/>
      <c r="E18" s="6"/>
      <c r="F18" s="6"/>
      <c r="G18" s="6"/>
      <c r="H18" s="6"/>
    </row>
    <row r="20" spans="1:8" ht="24" customHeight="1" x14ac:dyDescent="0.25">
      <c r="A20" s="8" t="s">
        <v>12</v>
      </c>
      <c r="B20" s="8"/>
      <c r="C20" s="8"/>
      <c r="D20" s="8"/>
      <c r="E20" s="8"/>
      <c r="F20" s="8"/>
      <c r="G20" s="8"/>
      <c r="H20" s="8"/>
    </row>
    <row r="21" spans="1:8" ht="18" customHeight="1" x14ac:dyDescent="0.25">
      <c r="B21" s="5" t="s">
        <v>13</v>
      </c>
      <c r="C21" s="5"/>
      <c r="D21" s="5"/>
      <c r="E21" s="5"/>
      <c r="F21" s="5"/>
      <c r="G21" s="16" t="s">
        <v>14</v>
      </c>
    </row>
    <row r="22" spans="1:8" ht="15" customHeight="1" x14ac:dyDescent="0.25">
      <c r="B22" s="4" t="s">
        <v>15</v>
      </c>
      <c r="C22" s="4"/>
      <c r="D22" s="4"/>
      <c r="E22" s="4"/>
      <c r="F22" s="4"/>
      <c r="G22" s="25"/>
      <c r="H22" s="25"/>
    </row>
    <row r="23" spans="1:8" ht="15" customHeight="1" x14ac:dyDescent="0.25">
      <c r="B23" s="4" t="s">
        <v>16</v>
      </c>
      <c r="C23" s="4"/>
      <c r="D23" s="4"/>
      <c r="E23" s="4"/>
      <c r="F23" s="4"/>
      <c r="G23" s="25"/>
      <c r="H23" s="25"/>
    </row>
    <row r="24" spans="1:8" ht="15" customHeight="1" x14ac:dyDescent="0.25">
      <c r="B24" s="4" t="s">
        <v>17</v>
      </c>
      <c r="C24" s="4"/>
      <c r="D24" s="4"/>
      <c r="E24" s="4"/>
      <c r="F24" s="4"/>
      <c r="G24" s="25"/>
      <c r="H24" s="25"/>
    </row>
    <row r="25" spans="1:8" ht="15" customHeight="1" x14ac:dyDescent="0.25">
      <c r="B25" s="4" t="s">
        <v>18</v>
      </c>
      <c r="C25" s="4"/>
      <c r="D25" s="4"/>
      <c r="E25" s="4"/>
      <c r="F25" s="4"/>
      <c r="G25" s="25"/>
      <c r="H25" s="25"/>
    </row>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1">
    <mergeCell ref="B23:F23"/>
    <mergeCell ref="G23:H23"/>
    <mergeCell ref="B24:F24"/>
    <mergeCell ref="G24:H24"/>
    <mergeCell ref="B25:F25"/>
    <mergeCell ref="G25:H25"/>
    <mergeCell ref="B16:H18"/>
    <mergeCell ref="A20:H20"/>
    <mergeCell ref="B21:F21"/>
    <mergeCell ref="B22:F22"/>
    <mergeCell ref="G22:H22"/>
    <mergeCell ref="A8:H8"/>
    <mergeCell ref="A9:H9"/>
    <mergeCell ref="A11:H11"/>
    <mergeCell ref="B12:H13"/>
    <mergeCell ref="A15:H15"/>
    <mergeCell ref="A1:H1"/>
    <mergeCell ref="A2:H2"/>
    <mergeCell ref="A4:H4"/>
    <mergeCell ref="A6:H6"/>
    <mergeCell ref="A7:H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J999"/>
  <sheetViews>
    <sheetView showGridLines="0" topLeftCell="A6" zoomScaleNormal="100" workbookViewId="0">
      <selection activeCell="K13" sqref="K13"/>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10" ht="30" customHeight="1" x14ac:dyDescent="0.25">
      <c r="A1" s="11" t="s">
        <v>19</v>
      </c>
      <c r="B1" s="11"/>
      <c r="C1" s="11"/>
      <c r="D1" s="11"/>
      <c r="E1" s="11"/>
      <c r="F1" s="11"/>
      <c r="G1" s="11"/>
      <c r="H1" s="11"/>
    </row>
    <row r="2" spans="1:10" ht="21.75" customHeight="1" x14ac:dyDescent="0.25">
      <c r="A2" s="10" t="s">
        <v>20</v>
      </c>
      <c r="B2" s="10"/>
      <c r="C2" s="10"/>
      <c r="D2" s="10"/>
      <c r="E2" s="10"/>
      <c r="F2" s="10"/>
      <c r="G2" s="10"/>
      <c r="H2" s="10"/>
    </row>
    <row r="4" spans="1:10" ht="43.5" customHeight="1" x14ac:dyDescent="0.25">
      <c r="A4" s="9" t="s">
        <v>21</v>
      </c>
      <c r="B4" s="9"/>
      <c r="C4" s="9"/>
      <c r="D4" s="9"/>
      <c r="E4" s="9"/>
      <c r="F4" s="9"/>
      <c r="G4" s="9"/>
      <c r="H4" s="9"/>
    </row>
    <row r="6" spans="1:10" ht="24" customHeight="1" x14ac:dyDescent="0.25">
      <c r="A6" s="8" t="s">
        <v>22</v>
      </c>
      <c r="B6" s="8"/>
      <c r="C6" s="8"/>
      <c r="D6" s="8"/>
      <c r="E6" s="8"/>
      <c r="F6" s="8"/>
      <c r="G6" s="8"/>
      <c r="H6" s="8"/>
    </row>
    <row r="7" spans="1:10" ht="18" customHeight="1" x14ac:dyDescent="0.25">
      <c r="B7" s="9" t="s">
        <v>23</v>
      </c>
      <c r="C7" s="9"/>
      <c r="D7" s="9"/>
      <c r="E7" s="9"/>
      <c r="F7" s="9"/>
      <c r="G7" s="9"/>
      <c r="H7" s="9"/>
    </row>
    <row r="8" spans="1:10" ht="18" customHeight="1" x14ac:dyDescent="0.25">
      <c r="B8" s="9" t="s">
        <v>24</v>
      </c>
      <c r="C8" s="9"/>
      <c r="D8" s="9"/>
      <c r="E8" s="9"/>
      <c r="F8" s="9"/>
      <c r="G8" s="9"/>
      <c r="H8" s="9"/>
    </row>
    <row r="9" spans="1:10" ht="18" customHeight="1" x14ac:dyDescent="0.25">
      <c r="B9" s="9" t="s">
        <v>25</v>
      </c>
      <c r="C9" s="9"/>
      <c r="D9" s="9"/>
      <c r="E9" s="9"/>
      <c r="F9" s="9"/>
      <c r="G9" s="9"/>
      <c r="H9" s="9"/>
    </row>
    <row r="10" spans="1:10" ht="18" customHeight="1" x14ac:dyDescent="0.25">
      <c r="B10" s="9" t="s">
        <v>26</v>
      </c>
      <c r="C10" s="9"/>
      <c r="D10" s="9"/>
      <c r="E10" s="9"/>
      <c r="F10" s="9"/>
      <c r="G10" s="9"/>
      <c r="H10" s="9"/>
    </row>
    <row r="11" spans="1:10" ht="18" customHeight="1" x14ac:dyDescent="0.25">
      <c r="B11" s="15"/>
      <c r="C11" s="15"/>
      <c r="D11" s="15"/>
      <c r="E11" s="15"/>
      <c r="F11" s="15"/>
      <c r="G11" s="15"/>
      <c r="H11" s="15"/>
    </row>
    <row r="12" spans="1:10" ht="308.25" customHeight="1" x14ac:dyDescent="0.25">
      <c r="B12" s="15"/>
      <c r="C12" s="15"/>
      <c r="D12" s="15"/>
      <c r="E12" s="15"/>
      <c r="F12" s="15"/>
      <c r="G12" s="15"/>
      <c r="H12" s="15"/>
    </row>
    <row r="13" spans="1:10" ht="192.75" customHeight="1" x14ac:dyDescent="0.25"/>
    <row r="14" spans="1:10" ht="24" customHeight="1" x14ac:dyDescent="0.25">
      <c r="A14" s="8" t="s">
        <v>27</v>
      </c>
      <c r="B14" s="8"/>
      <c r="C14" s="8"/>
      <c r="D14" s="8"/>
      <c r="E14" s="8"/>
      <c r="F14" s="8"/>
      <c r="G14" s="8"/>
      <c r="H14" s="8"/>
    </row>
    <row r="15" spans="1:10" ht="18" customHeight="1" x14ac:dyDescent="0.25">
      <c r="B15" s="3" t="s">
        <v>28</v>
      </c>
      <c r="C15" s="3"/>
      <c r="D15" s="3"/>
      <c r="E15" s="3"/>
      <c r="F15" s="17" t="s">
        <v>29</v>
      </c>
      <c r="G15" s="17" t="s">
        <v>30</v>
      </c>
      <c r="J15" s="18" t="s">
        <v>31</v>
      </c>
    </row>
    <row r="16" spans="1:10" ht="30" customHeight="1" x14ac:dyDescent="0.25">
      <c r="B16" s="4" t="s">
        <v>32</v>
      </c>
      <c r="C16" s="4"/>
      <c r="D16" s="4"/>
      <c r="E16" s="4"/>
      <c r="F16" s="19"/>
      <c r="G16" s="20" t="str">
        <f>IF(F16="","",IFERROR(IFERROR(IF(ABS(F16-350)&lt;0.01,"✓  Correct","✗  Try again"),"✗  Try again"),"✗  Try again"))</f>
        <v/>
      </c>
      <c r="J16" s="21" t="s">
        <v>33</v>
      </c>
    </row>
    <row r="17" spans="1:10" ht="30" customHeight="1" x14ac:dyDescent="0.25">
      <c r="B17" s="4" t="s">
        <v>34</v>
      </c>
      <c r="C17" s="4"/>
      <c r="D17" s="4"/>
      <c r="E17" s="4"/>
      <c r="F17" s="19"/>
      <c r="G17" s="20" t="str">
        <f>IF(F17="","",IF(ISNUMBER(SEARCH("outlier",F17)),"✓  Correct","✗  Try again"))</f>
        <v/>
      </c>
      <c r="J17" s="21" t="s">
        <v>35</v>
      </c>
    </row>
    <row r="19" spans="1:10" ht="33.75" customHeight="1" x14ac:dyDescent="0.25">
      <c r="A19" s="2" t="s">
        <v>36</v>
      </c>
      <c r="B19" s="2"/>
      <c r="C19" s="2"/>
      <c r="D19" s="2"/>
      <c r="E19" s="2"/>
      <c r="F19" s="2"/>
      <c r="G19" s="2"/>
      <c r="H19" s="2"/>
    </row>
    <row r="20" spans="1:10" ht="15.75" customHeight="1" x14ac:dyDescent="0.25"/>
    <row r="21" spans="1:10" ht="15.75" customHeight="1" x14ac:dyDescent="0.25"/>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mergeCells count="13">
    <mergeCell ref="B15:E15"/>
    <mergeCell ref="B16:E16"/>
    <mergeCell ref="B17:E17"/>
    <mergeCell ref="A19:H19"/>
    <mergeCell ref="B8:H8"/>
    <mergeCell ref="B9:H9"/>
    <mergeCell ref="B10:H10"/>
    <mergeCell ref="A14:H14"/>
    <mergeCell ref="A1:H1"/>
    <mergeCell ref="A2:H2"/>
    <mergeCell ref="A4:H4"/>
    <mergeCell ref="A6:H6"/>
    <mergeCell ref="B7:H7"/>
  </mergeCells>
  <conditionalFormatting sqref="G16:G17">
    <cfRule type="expression" dxfId="7" priority="2">
      <formula>ISNUMBER(SEARCH("Correct",G16))</formula>
    </cfRule>
    <cfRule type="expression" dxfId="6" priority="3">
      <formula>ISNUMBER(SEARCH("Try",G16))</formula>
    </cfRule>
  </conditionalFormatting>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J999"/>
  <sheetViews>
    <sheetView showGridLines="0" topLeftCell="A11" zoomScaleNormal="100" workbookViewId="0">
      <selection activeCell="F17" sqref="F17"/>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10" ht="30" customHeight="1" x14ac:dyDescent="0.25">
      <c r="A1" s="11" t="s">
        <v>37</v>
      </c>
      <c r="B1" s="11"/>
      <c r="C1" s="11"/>
      <c r="D1" s="11"/>
      <c r="E1" s="11"/>
      <c r="F1" s="11"/>
      <c r="G1" s="11"/>
      <c r="H1" s="11"/>
    </row>
    <row r="2" spans="1:10" ht="21.75" customHeight="1" x14ac:dyDescent="0.25">
      <c r="A2" s="10" t="s">
        <v>38</v>
      </c>
      <c r="B2" s="10"/>
      <c r="C2" s="10"/>
      <c r="D2" s="10"/>
      <c r="E2" s="10"/>
      <c r="F2" s="10"/>
      <c r="G2" s="10"/>
      <c r="H2" s="10"/>
    </row>
    <row r="4" spans="1:10" ht="43.5" customHeight="1" x14ac:dyDescent="0.25">
      <c r="A4" s="9" t="s">
        <v>39</v>
      </c>
      <c r="B4" s="9"/>
      <c r="C4" s="9"/>
      <c r="D4" s="9"/>
      <c r="E4" s="9"/>
      <c r="F4" s="9"/>
      <c r="G4" s="9"/>
      <c r="H4" s="9"/>
    </row>
    <row r="6" spans="1:10" ht="24" customHeight="1" x14ac:dyDescent="0.25">
      <c r="A6" s="8" t="s">
        <v>22</v>
      </c>
      <c r="B6" s="8"/>
      <c r="C6" s="8"/>
      <c r="D6" s="8"/>
      <c r="E6" s="8"/>
      <c r="F6" s="8"/>
      <c r="G6" s="8"/>
      <c r="H6" s="8"/>
    </row>
    <row r="7" spans="1:10" ht="18" customHeight="1" x14ac:dyDescent="0.25">
      <c r="B7" s="9" t="s">
        <v>40</v>
      </c>
      <c r="C7" s="9"/>
      <c r="D7" s="9"/>
      <c r="E7" s="9"/>
      <c r="F7" s="9"/>
      <c r="G7" s="9"/>
      <c r="H7" s="9"/>
    </row>
    <row r="8" spans="1:10" ht="18" customHeight="1" x14ac:dyDescent="0.25">
      <c r="B8" s="9" t="s">
        <v>41</v>
      </c>
      <c r="C8" s="9"/>
      <c r="D8" s="9"/>
      <c r="E8" s="9"/>
      <c r="F8" s="9"/>
      <c r="G8" s="9"/>
      <c r="H8" s="9"/>
    </row>
    <row r="9" spans="1:10" ht="18" customHeight="1" x14ac:dyDescent="0.25">
      <c r="B9" s="9" t="s">
        <v>42</v>
      </c>
      <c r="C9" s="9"/>
      <c r="D9" s="9"/>
      <c r="E9" s="9"/>
      <c r="F9" s="9"/>
      <c r="G9" s="9"/>
      <c r="H9" s="9"/>
    </row>
    <row r="10" spans="1:10" ht="18" customHeight="1" x14ac:dyDescent="0.25">
      <c r="B10" s="9" t="s">
        <v>43</v>
      </c>
      <c r="C10" s="9"/>
      <c r="D10" s="9"/>
      <c r="E10" s="9"/>
      <c r="F10" s="9"/>
      <c r="G10" s="9"/>
      <c r="H10" s="9"/>
    </row>
    <row r="11" spans="1:10" ht="18" customHeight="1" x14ac:dyDescent="0.25">
      <c r="B11" s="9" t="s">
        <v>44</v>
      </c>
      <c r="C11" s="9"/>
      <c r="D11" s="9"/>
      <c r="E11" s="9"/>
      <c r="F11" s="9"/>
      <c r="G11" s="9"/>
      <c r="H11" s="9"/>
    </row>
    <row r="12" spans="1:10" ht="18" customHeight="1" x14ac:dyDescent="0.25">
      <c r="B12" s="15"/>
      <c r="C12" s="15"/>
      <c r="D12" s="15"/>
      <c r="E12" s="15"/>
      <c r="F12" s="15"/>
      <c r="G12" s="15"/>
      <c r="H12" s="15"/>
    </row>
    <row r="13" spans="1:10" ht="238.5" customHeight="1" x14ac:dyDescent="0.25">
      <c r="B13" s="15"/>
      <c r="C13" s="15"/>
      <c r="D13" s="15"/>
      <c r="E13" s="15"/>
      <c r="F13" s="15"/>
      <c r="G13" s="15"/>
      <c r="H13" s="15"/>
    </row>
    <row r="15" spans="1:10" ht="24" customHeight="1" x14ac:dyDescent="0.25">
      <c r="A15" s="8" t="s">
        <v>27</v>
      </c>
      <c r="B15" s="8"/>
      <c r="C15" s="8"/>
      <c r="D15" s="8"/>
      <c r="E15" s="8"/>
      <c r="F15" s="8"/>
      <c r="G15" s="8"/>
      <c r="H15" s="8"/>
    </row>
    <row r="16" spans="1:10" ht="18" customHeight="1" x14ac:dyDescent="0.25">
      <c r="B16" s="3" t="s">
        <v>28</v>
      </c>
      <c r="C16" s="3"/>
      <c r="D16" s="3"/>
      <c r="E16" s="3"/>
      <c r="F16" s="17" t="s">
        <v>29</v>
      </c>
      <c r="G16" s="17" t="s">
        <v>30</v>
      </c>
      <c r="J16" s="18" t="s">
        <v>31</v>
      </c>
    </row>
    <row r="17" spans="1:10" ht="30" customHeight="1" x14ac:dyDescent="0.25">
      <c r="B17" s="4" t="s">
        <v>45</v>
      </c>
      <c r="C17" s="4"/>
      <c r="D17" s="4"/>
      <c r="E17" s="4"/>
      <c r="F17" s="26"/>
      <c r="G17" s="20" t="str">
        <f>IF(F17="","",IF(ISNUMBER(SEARCH("Swimming",F17)),"✓  Correct","✗  Try again"))</f>
        <v/>
      </c>
      <c r="J17" s="21" t="s">
        <v>46</v>
      </c>
    </row>
    <row r="18" spans="1:10" ht="30" customHeight="1" x14ac:dyDescent="0.25">
      <c r="B18" s="4" t="s">
        <v>47</v>
      </c>
      <c r="C18" s="4"/>
      <c r="D18" s="4"/>
      <c r="E18" s="4"/>
      <c r="F18" s="26"/>
      <c r="G18" s="20" t="str">
        <f>IF(F18="","",IFERROR(IFERROR(IF(ABS(F18-9)&lt;0.01,"✓  Correct","✗  Try again"),"✗  Try again"),"✗  Try again"))</f>
        <v/>
      </c>
      <c r="J18" s="21" t="s">
        <v>48</v>
      </c>
    </row>
    <row r="19" spans="1:10" ht="30" customHeight="1" x14ac:dyDescent="0.25">
      <c r="B19" s="4" t="s">
        <v>49</v>
      </c>
      <c r="C19" s="4"/>
      <c r="D19" s="4"/>
      <c r="E19" s="4"/>
      <c r="F19" s="26"/>
      <c r="G19" s="20" t="str">
        <f>IF(F19="","",IFERROR(IFERROR(IF(ABS(F19-5)&lt;0.01,"✓  Correct","✗  Try again"),"✗  Try again"),"✗  Try again"))</f>
        <v/>
      </c>
      <c r="J19" s="21" t="s">
        <v>50</v>
      </c>
    </row>
    <row r="20" spans="1:10" ht="15.75" customHeight="1" x14ac:dyDescent="0.25"/>
    <row r="21" spans="1:10" ht="24" customHeight="1" x14ac:dyDescent="0.25">
      <c r="A21" s="2" t="s">
        <v>51</v>
      </c>
      <c r="B21" s="2"/>
      <c r="C21" s="2"/>
      <c r="D21" s="2"/>
      <c r="E21" s="2"/>
      <c r="F21" s="2"/>
      <c r="G21" s="2"/>
      <c r="H21" s="2"/>
    </row>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sheetProtection sheet="1" objects="1" scenarios="1" selectLockedCells="1"/>
  <mergeCells count="15">
    <mergeCell ref="A21:H21"/>
    <mergeCell ref="A15:H15"/>
    <mergeCell ref="B16:E16"/>
    <mergeCell ref="B17:E17"/>
    <mergeCell ref="B18:E18"/>
    <mergeCell ref="B19:E19"/>
    <mergeCell ref="B8:H8"/>
    <mergeCell ref="B9:H9"/>
    <mergeCell ref="B10:H10"/>
    <mergeCell ref="B11:H11"/>
    <mergeCell ref="A1:H1"/>
    <mergeCell ref="A2:H2"/>
    <mergeCell ref="A4:H4"/>
    <mergeCell ref="A6:H6"/>
    <mergeCell ref="B7:H7"/>
  </mergeCells>
  <conditionalFormatting sqref="G17:G19">
    <cfRule type="expression" dxfId="5" priority="2">
      <formula>ISNUMBER(SEARCH("Correct",G17))</formula>
    </cfRule>
    <cfRule type="expression" dxfId="4" priority="3">
      <formula>ISNUMBER(SEARCH("Try",G17))</formula>
    </cfRule>
  </conditionalFormatting>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J997"/>
  <sheetViews>
    <sheetView showGridLines="0" zoomScaleNormal="100" workbookViewId="0">
      <selection activeCell="F14" sqref="F14"/>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10" ht="30" customHeight="1" x14ac:dyDescent="0.25">
      <c r="A1" s="11" t="s">
        <v>52</v>
      </c>
      <c r="B1" s="11"/>
      <c r="C1" s="11"/>
      <c r="D1" s="11"/>
      <c r="E1" s="11"/>
      <c r="F1" s="11"/>
      <c r="G1" s="11"/>
      <c r="H1" s="11"/>
    </row>
    <row r="2" spans="1:10" ht="21.75" customHeight="1" x14ac:dyDescent="0.25">
      <c r="A2" s="10" t="s">
        <v>53</v>
      </c>
      <c r="B2" s="10"/>
      <c r="C2" s="10"/>
      <c r="D2" s="10"/>
      <c r="E2" s="10"/>
      <c r="F2" s="10"/>
      <c r="G2" s="10"/>
      <c r="H2" s="10"/>
    </row>
    <row r="4" spans="1:10" ht="43.5" customHeight="1" x14ac:dyDescent="0.25">
      <c r="A4" s="9" t="s">
        <v>54</v>
      </c>
      <c r="B4" s="9"/>
      <c r="C4" s="9"/>
      <c r="D4" s="9"/>
      <c r="E4" s="9"/>
      <c r="F4" s="9"/>
      <c r="G4" s="9"/>
      <c r="H4" s="9"/>
    </row>
    <row r="6" spans="1:10" ht="24" customHeight="1" x14ac:dyDescent="0.25">
      <c r="A6" s="8" t="s">
        <v>22</v>
      </c>
      <c r="B6" s="8"/>
      <c r="C6" s="8"/>
      <c r="D6" s="8"/>
      <c r="E6" s="8"/>
      <c r="F6" s="8"/>
      <c r="G6" s="8"/>
      <c r="H6" s="8"/>
    </row>
    <row r="7" spans="1:10" ht="18" customHeight="1" x14ac:dyDescent="0.25">
      <c r="B7" s="9" t="s">
        <v>55</v>
      </c>
      <c r="C7" s="9"/>
      <c r="D7" s="9"/>
      <c r="E7" s="9"/>
      <c r="F7" s="9"/>
      <c r="G7" s="9"/>
      <c r="H7" s="9"/>
    </row>
    <row r="8" spans="1:10" ht="18" customHeight="1" x14ac:dyDescent="0.25">
      <c r="B8" s="9" t="s">
        <v>56</v>
      </c>
      <c r="C8" s="9"/>
      <c r="D8" s="9"/>
      <c r="E8" s="9"/>
      <c r="F8" s="9"/>
      <c r="G8" s="9"/>
      <c r="H8" s="9"/>
    </row>
    <row r="9" spans="1:10" ht="18" customHeight="1" x14ac:dyDescent="0.25">
      <c r="B9" s="9" t="s">
        <v>57</v>
      </c>
      <c r="C9" s="9"/>
      <c r="D9" s="9"/>
      <c r="E9" s="9"/>
      <c r="F9" s="9"/>
      <c r="G9" s="9"/>
      <c r="H9" s="9"/>
    </row>
    <row r="10" spans="1:10" ht="18" customHeight="1" x14ac:dyDescent="0.25">
      <c r="B10" s="9" t="s">
        <v>58</v>
      </c>
      <c r="C10" s="9"/>
      <c r="D10" s="9"/>
      <c r="E10" s="9"/>
      <c r="F10" s="9"/>
      <c r="G10" s="9"/>
      <c r="H10" s="9"/>
    </row>
    <row r="12" spans="1:10" ht="24" customHeight="1" x14ac:dyDescent="0.25">
      <c r="A12" s="8" t="s">
        <v>27</v>
      </c>
      <c r="B12" s="8"/>
      <c r="C12" s="8"/>
      <c r="D12" s="8"/>
      <c r="E12" s="8"/>
      <c r="F12" s="8"/>
      <c r="G12" s="8"/>
      <c r="H12" s="8"/>
    </row>
    <row r="13" spans="1:10" ht="18" customHeight="1" x14ac:dyDescent="0.25">
      <c r="B13" s="3" t="s">
        <v>28</v>
      </c>
      <c r="C13" s="3"/>
      <c r="D13" s="3"/>
      <c r="E13" s="3"/>
      <c r="F13" s="17" t="s">
        <v>29</v>
      </c>
      <c r="G13" s="17" t="s">
        <v>30</v>
      </c>
      <c r="J13" s="18" t="s">
        <v>31</v>
      </c>
    </row>
    <row r="14" spans="1:10" ht="30" customHeight="1" x14ac:dyDescent="0.25">
      <c r="B14" s="4" t="s">
        <v>59</v>
      </c>
      <c r="C14" s="4"/>
      <c r="D14" s="4"/>
      <c r="E14" s="4"/>
      <c r="F14" s="26"/>
      <c r="G14" s="20" t="str">
        <f>IF(F14="","",IFERROR(IFERROR(IF(ABS(F14-28)&lt;0.01,"✓  Correct","✗  Try again"),"✗  Try again"),"✗  Try again"))</f>
        <v/>
      </c>
      <c r="J14" s="21" t="s">
        <v>60</v>
      </c>
    </row>
    <row r="15" spans="1:10" ht="30" customHeight="1" x14ac:dyDescent="0.25">
      <c r="B15" s="4" t="s">
        <v>61</v>
      </c>
      <c r="C15" s="4"/>
      <c r="D15" s="4"/>
      <c r="E15" s="4"/>
      <c r="F15" s="26"/>
      <c r="G15" s="20" t="str">
        <f>IF(F15="","",IF(ISNUMBER(SEARCH("January",F15)),"✓  Correct","✗  Try again"))</f>
        <v/>
      </c>
      <c r="J15" s="21" t="s">
        <v>62</v>
      </c>
    </row>
    <row r="16" spans="1:10" ht="30" customHeight="1" x14ac:dyDescent="0.25">
      <c r="B16" s="4" t="s">
        <v>63</v>
      </c>
      <c r="C16" s="4"/>
      <c r="D16" s="4"/>
      <c r="E16" s="4"/>
      <c r="F16" s="26"/>
      <c r="G16" s="20" t="str">
        <f>IF(F16="","",IFERROR(IFERROR(IF(ABS(F16-60)&lt;0.01,"✓  Correct","✗  Try again"),"✗  Try again"),"✗  Try again"))</f>
        <v/>
      </c>
      <c r="J16" s="21" t="s">
        <v>64</v>
      </c>
    </row>
    <row r="18" spans="1:8" ht="33.75" customHeight="1" x14ac:dyDescent="0.25">
      <c r="A18" s="2" t="s">
        <v>65</v>
      </c>
      <c r="B18" s="2"/>
      <c r="C18" s="2"/>
      <c r="D18" s="2"/>
      <c r="E18" s="2"/>
      <c r="F18" s="2"/>
      <c r="G18" s="2"/>
      <c r="H18" s="2"/>
    </row>
    <row r="19" spans="1:8" ht="15.75" customHeight="1" x14ac:dyDescent="0.25"/>
    <row r="20" spans="1:8" ht="15.75" customHeight="1" x14ac:dyDescent="0.25"/>
    <row r="21" spans="1:8" ht="15.75" customHeight="1" x14ac:dyDescent="0.25"/>
    <row r="22" spans="1:8" ht="15.75" customHeight="1" x14ac:dyDescent="0.25"/>
    <row r="23" spans="1:8" ht="15.75" customHeight="1" x14ac:dyDescent="0.25"/>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sheetProtection sheet="1" objects="1" scenarios="1" selectLockedCells="1"/>
  <mergeCells count="14">
    <mergeCell ref="B13:E13"/>
    <mergeCell ref="B14:E14"/>
    <mergeCell ref="B15:E15"/>
    <mergeCell ref="B16:E16"/>
    <mergeCell ref="A18:H18"/>
    <mergeCell ref="B8:H8"/>
    <mergeCell ref="B9:H9"/>
    <mergeCell ref="B10:H10"/>
    <mergeCell ref="A12:H12"/>
    <mergeCell ref="A1:H1"/>
    <mergeCell ref="A2:H2"/>
    <mergeCell ref="A4:H4"/>
    <mergeCell ref="A6:H6"/>
    <mergeCell ref="B7:H7"/>
  </mergeCells>
  <conditionalFormatting sqref="G14:G16">
    <cfRule type="expression" dxfId="3" priority="2">
      <formula>ISNUMBER(SEARCH("Correct",G14))</formula>
    </cfRule>
    <cfRule type="expression" dxfId="2" priority="3">
      <formula>ISNUMBER(SEARCH("Try",G14))</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C1000"/>
  <sheetViews>
    <sheetView showGridLines="0" zoomScaleNormal="100" workbookViewId="0">
      <selection activeCell="C16" sqref="C16"/>
    </sheetView>
  </sheetViews>
  <sheetFormatPr defaultColWidth="14.42578125" defaultRowHeight="15" x14ac:dyDescent="0.25"/>
  <cols>
    <col min="1" max="1" width="3" customWidth="1"/>
    <col min="2" max="2" width="26" customWidth="1"/>
    <col min="3" max="3" width="70" customWidth="1"/>
    <col min="4" max="8" width="8.7109375" customWidth="1"/>
  </cols>
  <sheetData>
    <row r="1" spans="1:3" ht="30" customHeight="1" x14ac:dyDescent="0.25">
      <c r="A1" s="11" t="s">
        <v>66</v>
      </c>
      <c r="B1" s="11"/>
      <c r="C1" s="11"/>
    </row>
    <row r="2" spans="1:3" ht="21.75" customHeight="1" x14ac:dyDescent="0.25">
      <c r="A2" s="10" t="s">
        <v>67</v>
      </c>
      <c r="B2" s="10"/>
      <c r="C2" s="10"/>
    </row>
    <row r="4" spans="1:3" ht="39.75" customHeight="1" x14ac:dyDescent="0.25">
      <c r="B4" s="22" t="s">
        <v>68</v>
      </c>
      <c r="C4" s="23" t="s">
        <v>69</v>
      </c>
    </row>
    <row r="5" spans="1:3" ht="39.75" customHeight="1" x14ac:dyDescent="0.25">
      <c r="B5" s="22" t="s">
        <v>70</v>
      </c>
      <c r="C5" s="23" t="s">
        <v>71</v>
      </c>
    </row>
    <row r="6" spans="1:3" ht="39.75" customHeight="1" x14ac:dyDescent="0.25">
      <c r="B6" s="22" t="s">
        <v>72</v>
      </c>
      <c r="C6" s="23" t="s">
        <v>73</v>
      </c>
    </row>
    <row r="7" spans="1:3" ht="39.75" customHeight="1" x14ac:dyDescent="0.25">
      <c r="B7" s="22" t="s">
        <v>74</v>
      </c>
      <c r="C7" s="23" t="s">
        <v>75</v>
      </c>
    </row>
    <row r="8" spans="1:3" ht="39.75" customHeight="1" x14ac:dyDescent="0.25">
      <c r="B8" s="22" t="s">
        <v>76</v>
      </c>
      <c r="C8" s="23" t="s">
        <v>77</v>
      </c>
    </row>
    <row r="9" spans="1:3" ht="39.75" customHeight="1" x14ac:dyDescent="0.25">
      <c r="B9" s="22" t="s">
        <v>78</v>
      </c>
      <c r="C9" s="23" t="s">
        <v>79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
    <mergeCell ref="A1:C1"/>
    <mergeCell ref="A2:C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J1000"/>
  <sheetViews>
    <sheetView showGridLines="0" zoomScaleNormal="100" workbookViewId="0">
      <selection activeCell="C8" sqref="C8"/>
    </sheetView>
  </sheetViews>
  <sheetFormatPr defaultColWidth="14.42578125" defaultRowHeight="15" x14ac:dyDescent="0.25"/>
  <cols>
    <col min="1" max="1" width="3" customWidth="1"/>
    <col min="2" max="2" width="54" customWidth="1"/>
    <col min="3" max="4" width="16" customWidth="1"/>
    <col min="5" max="5" width="36" customWidth="1"/>
    <col min="6" max="8" width="8.7109375" customWidth="1"/>
    <col min="9" max="9" width="1.5703125" customWidth="1"/>
    <col min="10" max="10" width="52" customWidth="1"/>
  </cols>
  <sheetData>
    <row r="1" spans="1:10" ht="30" customHeight="1" x14ac:dyDescent="0.25">
      <c r="A1" s="11" t="s">
        <v>80</v>
      </c>
      <c r="B1" s="11"/>
      <c r="C1" s="11"/>
      <c r="D1" s="11"/>
      <c r="E1" s="11"/>
    </row>
    <row r="2" spans="1:10" ht="21.75" customHeight="1" x14ac:dyDescent="0.25">
      <c r="A2" s="10" t="s">
        <v>81</v>
      </c>
      <c r="B2" s="10"/>
      <c r="C2" s="10"/>
      <c r="D2" s="10"/>
      <c r="E2" s="10"/>
    </row>
    <row r="4" spans="1:10" ht="27.75" customHeight="1" x14ac:dyDescent="0.25">
      <c r="A4" s="9" t="s">
        <v>82</v>
      </c>
      <c r="B4" s="9"/>
      <c r="C4" s="9"/>
      <c r="D4" s="9"/>
      <c r="E4" s="9"/>
    </row>
    <row r="6" spans="1:10" ht="24" customHeight="1" x14ac:dyDescent="0.25">
      <c r="A6" s="8" t="s">
        <v>83</v>
      </c>
      <c r="B6" s="8"/>
      <c r="C6" s="8"/>
      <c r="D6" s="8"/>
      <c r="E6" s="8"/>
    </row>
    <row r="7" spans="1:10" ht="18" customHeight="1" x14ac:dyDescent="0.25">
      <c r="B7" s="24" t="s">
        <v>28</v>
      </c>
      <c r="C7" s="17" t="s">
        <v>84</v>
      </c>
      <c r="D7" s="17" t="s">
        <v>30</v>
      </c>
      <c r="J7" s="18" t="s">
        <v>31</v>
      </c>
    </row>
    <row r="8" spans="1:10" ht="42.75" customHeight="1" x14ac:dyDescent="0.25">
      <c r="B8" s="23" t="s">
        <v>85</v>
      </c>
      <c r="C8" s="26"/>
      <c r="D8" s="20" t="str">
        <f>IF(C8="","",IFERROR(IFERROR(IF(ABS(C8-1014)&lt;0.01,"✓  Correct","✗  Try again"),"✗  Try again"),"✗  Try again"))</f>
        <v/>
      </c>
      <c r="J8" s="21" t="s">
        <v>86</v>
      </c>
    </row>
    <row r="9" spans="1:10" ht="21.75" customHeight="1" x14ac:dyDescent="0.25">
      <c r="A9" s="1" t="s">
        <v>87</v>
      </c>
      <c r="B9" s="1"/>
      <c r="C9" s="1"/>
      <c r="D9" s="1"/>
      <c r="E9" s="1"/>
    </row>
    <row r="11" spans="1:10" ht="24" customHeight="1" x14ac:dyDescent="0.25">
      <c r="A11" s="8" t="s">
        <v>88</v>
      </c>
      <c r="B11" s="8"/>
      <c r="C11" s="8"/>
      <c r="D11" s="8"/>
      <c r="E11" s="8"/>
    </row>
    <row r="12" spans="1:10" ht="43.5" customHeight="1" x14ac:dyDescent="0.25">
      <c r="B12" s="4" t="s">
        <v>89</v>
      </c>
      <c r="C12" s="4"/>
      <c r="D12" s="27"/>
      <c r="E12" s="27"/>
    </row>
    <row r="13" spans="1:10" ht="43.5" customHeight="1" x14ac:dyDescent="0.25">
      <c r="B13" s="4" t="s">
        <v>90</v>
      </c>
      <c r="C13" s="4"/>
      <c r="D13" s="27"/>
      <c r="E13" s="27"/>
    </row>
    <row r="14" spans="1:10" ht="43.5" customHeight="1" x14ac:dyDescent="0.25">
      <c r="B14" s="4" t="s">
        <v>91</v>
      </c>
      <c r="C14" s="4"/>
      <c r="D14" s="27"/>
      <c r="E14" s="27"/>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2">
    <mergeCell ref="B14:C14"/>
    <mergeCell ref="D14:E14"/>
    <mergeCell ref="A11:E11"/>
    <mergeCell ref="B12:C12"/>
    <mergeCell ref="D12:E12"/>
    <mergeCell ref="B13:C13"/>
    <mergeCell ref="D13:E13"/>
    <mergeCell ref="A1:E1"/>
    <mergeCell ref="A2:E2"/>
    <mergeCell ref="A4:E4"/>
    <mergeCell ref="A6:E6"/>
    <mergeCell ref="A9:E9"/>
  </mergeCells>
  <conditionalFormatting sqref="D8">
    <cfRule type="expression" dxfId="1" priority="2">
      <formula>ISNUMBER(SEARCH("Correct",D8))</formula>
    </cfRule>
    <cfRule type="expression" dxfId="0" priority="3">
      <formula>ISNUMBER(SEARCH("Try",D8))</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8F00"/>
  </sheetPr>
  <dimension ref="A1:V1000"/>
  <sheetViews>
    <sheetView showGridLines="0" tabSelected="1" zoomScaleNormal="100" workbookViewId="0">
      <selection activeCell="E18" sqref="E18"/>
    </sheetView>
  </sheetViews>
  <sheetFormatPr defaultColWidth="14.42578125" defaultRowHeight="15" x14ac:dyDescent="0.25"/>
  <cols>
    <col min="1" max="1" width="3" customWidth="1"/>
    <col min="2" max="2" width="50" customWidth="1"/>
    <col min="3" max="5" width="16" customWidth="1"/>
    <col min="6" max="6" width="37" customWidth="1"/>
    <col min="7" max="8" width="8.7109375" customWidth="1"/>
    <col min="10" max="22" width="3.42578125" customWidth="1"/>
  </cols>
  <sheetData>
    <row r="1" spans="1:22" ht="30" customHeight="1" x14ac:dyDescent="0.25">
      <c r="A1" s="11" t="s">
        <v>92</v>
      </c>
      <c r="B1" s="11"/>
      <c r="C1" s="11"/>
      <c r="D1" s="11"/>
      <c r="E1" s="11"/>
      <c r="F1" s="11"/>
      <c r="J1" s="12" t="s">
        <v>1</v>
      </c>
    </row>
    <row r="2" spans="1:22" ht="21.75" customHeight="1" x14ac:dyDescent="0.25">
      <c r="A2" s="10" t="s">
        <v>93</v>
      </c>
      <c r="B2" s="10"/>
      <c r="C2" s="10"/>
      <c r="D2" s="10"/>
      <c r="E2" s="10"/>
      <c r="F2" s="10"/>
      <c r="J2" s="13">
        <v>1</v>
      </c>
      <c r="K2" s="13">
        <v>2</v>
      </c>
      <c r="L2" s="13">
        <v>3</v>
      </c>
      <c r="M2" s="13">
        <v>4</v>
      </c>
      <c r="N2" s="13">
        <v>5</v>
      </c>
      <c r="O2" s="14">
        <v>6</v>
      </c>
      <c r="P2" s="13">
        <v>7</v>
      </c>
      <c r="Q2" s="13">
        <v>8</v>
      </c>
      <c r="R2" s="13">
        <v>9</v>
      </c>
      <c r="S2" s="13">
        <v>10</v>
      </c>
      <c r="T2" s="13">
        <v>11</v>
      </c>
      <c r="U2" s="13">
        <v>12</v>
      </c>
      <c r="V2" s="13">
        <v>13</v>
      </c>
    </row>
    <row r="4" spans="1:22" ht="24" customHeight="1" x14ac:dyDescent="0.25">
      <c r="A4" s="8" t="s">
        <v>94</v>
      </c>
      <c r="B4" s="8"/>
      <c r="C4" s="8"/>
      <c r="D4" s="8"/>
      <c r="E4" s="8"/>
      <c r="F4" s="8"/>
      <c r="G4" s="8"/>
      <c r="H4" s="8"/>
    </row>
    <row r="5" spans="1:22" ht="18" customHeight="1" x14ac:dyDescent="0.25">
      <c r="A5" s="9" t="s">
        <v>95</v>
      </c>
      <c r="B5" s="9"/>
      <c r="C5" s="9"/>
      <c r="D5" s="9"/>
      <c r="E5" s="9"/>
      <c r="F5" s="9"/>
      <c r="G5" s="9"/>
      <c r="H5" s="9"/>
    </row>
    <row r="6" spans="1:22" ht="24" customHeight="1" x14ac:dyDescent="0.25">
      <c r="C6" s="26"/>
      <c r="D6" s="4" t="s">
        <v>96</v>
      </c>
      <c r="E6" s="4"/>
      <c r="F6" s="4"/>
    </row>
    <row r="7" spans="1:22" ht="24" customHeight="1" x14ac:dyDescent="0.25">
      <c r="C7" s="26"/>
      <c r="D7" s="4" t="s">
        <v>97</v>
      </c>
      <c r="E7" s="4"/>
      <c r="F7" s="4"/>
    </row>
    <row r="8" spans="1:22" ht="24" customHeight="1" x14ac:dyDescent="0.25">
      <c r="C8" s="26"/>
      <c r="D8" s="4" t="s">
        <v>98</v>
      </c>
      <c r="E8" s="4"/>
      <c r="F8" s="4"/>
    </row>
    <row r="9" spans="1:22" ht="24" customHeight="1" x14ac:dyDescent="0.25">
      <c r="C9" s="26"/>
      <c r="D9" s="4" t="s">
        <v>99</v>
      </c>
      <c r="E9" s="4"/>
      <c r="F9" s="4"/>
    </row>
    <row r="10" spans="1:22" ht="24" customHeight="1" x14ac:dyDescent="0.25">
      <c r="C10" s="26"/>
      <c r="D10" s="4" t="s">
        <v>100</v>
      </c>
      <c r="E10" s="4"/>
      <c r="F10" s="4"/>
    </row>
    <row r="12" spans="1:22" ht="24" customHeight="1" x14ac:dyDescent="0.25">
      <c r="A12" s="8" t="s">
        <v>101</v>
      </c>
      <c r="B12" s="8"/>
      <c r="C12" s="8"/>
      <c r="D12" s="8"/>
      <c r="E12" s="8"/>
      <c r="F12" s="8"/>
      <c r="G12" s="8"/>
      <c r="H12" s="8"/>
    </row>
    <row r="13" spans="1:22" ht="18" customHeight="1" x14ac:dyDescent="0.25">
      <c r="A13" s="9" t="s">
        <v>102</v>
      </c>
      <c r="B13" s="9"/>
      <c r="C13" s="9"/>
      <c r="D13" s="9"/>
      <c r="E13" s="9"/>
      <c r="F13" s="9"/>
      <c r="G13" s="9"/>
      <c r="H13" s="9"/>
    </row>
    <row r="14" spans="1:22" ht="18" customHeight="1" x14ac:dyDescent="0.25">
      <c r="B14" s="5" t="s">
        <v>13</v>
      </c>
      <c r="C14" s="5"/>
      <c r="D14" s="5"/>
      <c r="E14" s="16" t="s">
        <v>103</v>
      </c>
    </row>
    <row r="15" spans="1:22" ht="21.75" customHeight="1" x14ac:dyDescent="0.25">
      <c r="B15" s="4" t="s">
        <v>15</v>
      </c>
      <c r="C15" s="4"/>
      <c r="D15" s="4"/>
      <c r="E15" s="26"/>
    </row>
    <row r="16" spans="1:22" ht="21.75" customHeight="1" x14ac:dyDescent="0.25">
      <c r="B16" s="4" t="s">
        <v>16</v>
      </c>
      <c r="C16" s="4"/>
      <c r="D16" s="4"/>
      <c r="E16" s="26"/>
    </row>
    <row r="17" spans="2:6" ht="21.75" customHeight="1" x14ac:dyDescent="0.25">
      <c r="B17" s="4" t="s">
        <v>17</v>
      </c>
      <c r="C17" s="4"/>
      <c r="D17" s="4"/>
      <c r="E17" s="26"/>
    </row>
    <row r="18" spans="2:6" ht="21.75" customHeight="1" x14ac:dyDescent="0.25">
      <c r="B18" s="4" t="s">
        <v>18</v>
      </c>
      <c r="C18" s="4"/>
      <c r="D18" s="4"/>
      <c r="E18" s="26"/>
    </row>
    <row r="20" spans="2:6" ht="15" customHeight="1" x14ac:dyDescent="0.25">
      <c r="B20" s="6" t="s">
        <v>104</v>
      </c>
      <c r="C20" s="6"/>
      <c r="D20" s="6"/>
      <c r="E20" s="6"/>
      <c r="F20" s="6"/>
    </row>
    <row r="21" spans="2:6" ht="15.75" customHeight="1" x14ac:dyDescent="0.25">
      <c r="B21" s="6"/>
      <c r="C21" s="6"/>
      <c r="D21" s="6"/>
      <c r="E21" s="6"/>
      <c r="F21" s="6"/>
    </row>
    <row r="22" spans="2:6" ht="15.75" customHeight="1" x14ac:dyDescent="0.25">
      <c r="B22" s="6"/>
      <c r="C22" s="6"/>
      <c r="D22" s="6"/>
      <c r="E22" s="6"/>
      <c r="F22" s="6"/>
    </row>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B18:D18"/>
    <mergeCell ref="B20:F22"/>
    <mergeCell ref="A13:H13"/>
    <mergeCell ref="B14:D14"/>
    <mergeCell ref="B15:D15"/>
    <mergeCell ref="B16:D16"/>
    <mergeCell ref="B17:D17"/>
    <mergeCell ref="D7:F7"/>
    <mergeCell ref="D8:F8"/>
    <mergeCell ref="D9:F9"/>
    <mergeCell ref="D10:F10"/>
    <mergeCell ref="A12:H12"/>
    <mergeCell ref="A1:F1"/>
    <mergeCell ref="A2:F2"/>
    <mergeCell ref="A4:H4"/>
    <mergeCell ref="A5:H5"/>
    <mergeCell ref="D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Start Here</vt:lpstr>
      <vt:lpstr>Task 1 - Sort &amp; Spot</vt:lpstr>
      <vt:lpstr>Task 2 - Group &amp; Count</vt:lpstr>
      <vt:lpstr>Task 3 - Totals &amp; Compare</vt:lpstr>
      <vt:lpstr>Support</vt:lpstr>
      <vt:lpstr>Stretch</vt:lpstr>
      <vt:lpstr>Confidence &amp;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Chittenden</cp:lastModifiedBy>
  <cp:revision>0</cp:revision>
  <dcterms:created xsi:type="dcterms:W3CDTF">2026-06-10T13:07:29Z</dcterms:created>
  <dcterms:modified xsi:type="dcterms:W3CDTF">2026-06-22T21:06:08Z</dcterms:modified>
  <dc:language>en-US</dc:language>
</cp:coreProperties>
</file>