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training-resources\"/>
    </mc:Choice>
  </mc:AlternateContent>
  <xr:revisionPtr revIDLastSave="0" documentId="8_{E9F54ED4-99DC-4513-B9D1-13C23B991B0E}" xr6:coauthVersionLast="47" xr6:coauthVersionMax="47" xr10:uidLastSave="{00000000-0000-0000-0000-000000000000}"/>
  <bookViews>
    <workbookView xWindow="28680" yWindow="-120" windowWidth="29040" windowHeight="17520" tabRatio="730" firstSheet="1" activeTab="8" xr2:uid="{00000000-000D-0000-FFFF-FFFF00000000}"/>
  </bookViews>
  <sheets>
    <sheet name="Start Here" sheetId="1" r:id="rId1"/>
    <sheet name="Warm-up" sheetId="2" r:id="rId2"/>
    <sheet name="Club Data" sheetId="3" r:id="rId3"/>
    <sheet name="Task 1 - COUNTIFS" sheetId="4" r:id="rId4"/>
    <sheet name="Task 2 - SUMIFS &amp; AVERAGEIFS" sheetId="5" r:id="rId5"/>
    <sheet name="Task 3 - IF with AND-OR" sheetId="6" r:id="rId6"/>
    <sheet name="Support" sheetId="7" r:id="rId7"/>
    <sheet name="Stretch" sheetId="8" r:id="rId8"/>
    <sheet name="Confidence &amp; Next Steps" sheetId="9" r:id="rId9"/>
  </sheets>
  <definedNames>
    <definedName name="_xlnm._FilterDatabase" localSheetId="2" hidden="1">'Club Data'!$A$4:$I$27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8" l="1"/>
  <c r="G8" i="6"/>
  <c r="G7" i="6"/>
  <c r="G8" i="5"/>
  <c r="G7" i="5"/>
  <c r="G8" i="4"/>
  <c r="G7" i="4"/>
  <c r="G17" i="2"/>
  <c r="G16" i="2"/>
  <c r="G15" i="2"/>
  <c r="G14" i="2"/>
</calcChain>
</file>

<file path=xl/sharedStrings.xml><?xml version="1.0" encoding="utf-8"?>
<sst xmlns="http://schemas.openxmlformats.org/spreadsheetml/2006/main" count="282" uniqueCount="160">
  <si>
    <t>Module 9  -  The IFS Family</t>
  </si>
  <si>
    <t>YOUR JOURNEY</t>
  </si>
  <si>
    <t>Count, total and average on MORE THAN ONE condition  -  Self-paced</t>
  </si>
  <si>
    <t>In Module 8 you filtered on ONE condition. Real questions often have two or more: Adult members who are ALSO recent joiners; Card payments OVER 100. The IFS functions add as many condition-pairs as you like, and IF can be teamed with AND / OR to test several things at once. Same blended Club Data table.</t>
  </si>
  <si>
    <t>Two ways to combine conditions</t>
  </si>
  <si>
    <t>COUNTIFS / SUMIFS / AVERAGEIFS: add condition PAIRS - (range1, test1, range2, test2, ...). ALL conditions must be true for a row to count.</t>
  </si>
  <si>
    <t>IF with AND( ) / OR( ): label a row when several tests are (all) true - AND - or when (any) are true - OR. e.g. =IF(AND(G19&gt;100,H19="Card"),"Escalate","Normal").</t>
  </si>
  <si>
    <t>Watch out: SUMIF puts the sum-range LAST, but SUMIFS puts it FIRST. (More on that in the tasks.)</t>
  </si>
  <si>
    <t>What you'll learn</t>
  </si>
  <si>
    <t>•  COUNTIFS: count rows that meet several conditions.</t>
  </si>
  <si>
    <t>•  SUMIFS / AVERAGEIFS: total or average rows that meet several conditions.</t>
  </si>
  <si>
    <t>•  IF with AND / OR: label a row from a combined test.</t>
  </si>
  <si>
    <t>Before you start</t>
  </si>
  <si>
    <t>This is Module 8 with extra conditions stacked on - the same idea, just more of it. Do the warm-up first. A wrong formula costs nothing; fix it and retry. Breathe (in 4, hold 4, out 6).</t>
  </si>
  <si>
    <t>Your confidence baseline  (1 = not yet, 5 = confident)</t>
  </si>
  <si>
    <t>Statement</t>
  </si>
  <si>
    <t>Rating (1-5)</t>
  </si>
  <si>
    <t>I can use COUNTIFS with two or more conditions</t>
  </si>
  <si>
    <t>I can use SUMIFS and AVERAGEIFS (sum-range first!)</t>
  </si>
  <si>
    <t>I can combine IF with AND and OR</t>
  </si>
  <si>
    <t>I can choose AND vs OR correctly</t>
  </si>
  <si>
    <t>Warm-up - two conditions on a tiny table</t>
  </si>
  <si>
    <t>Type in B7:B11, Value in C7:C11</t>
  </si>
  <si>
    <t>Learn the multi-condition shape here first. (Remember: SUMIFS/AVERAGEIFS take the sum/average range FIRST, then the condition pairs.)</t>
  </si>
  <si>
    <t>Type</t>
  </si>
  <si>
    <t>Value</t>
  </si>
  <si>
    <t>A</t>
  </si>
  <si>
    <t>B</t>
  </si>
  <si>
    <t>What to calculate</t>
  </si>
  <si>
    <t>Type this kind of formula</t>
  </si>
  <si>
    <t>Your result</t>
  </si>
  <si>
    <t>Check</t>
  </si>
  <si>
    <t>🧭 Explore further</t>
  </si>
  <si>
    <t>Count rows that are Type A AND Value over 15</t>
  </si>
  <si>
    <t>e.g.  =COUNTIFS(B7:B11,"A",C7:C11,"&gt;15")</t>
  </si>
  <si>
    <t>Explore: add a third condition pair to the COUNTIFS and predict the result first. Then swap AND for OR in the IF — say the new answer out loud before you press Enter.</t>
  </si>
  <si>
    <t>Total the Values where Type A AND Value over 15</t>
  </si>
  <si>
    <t>e.g.  =SUMIFS(C7:C11,B7:B11,"A",C7:C11,"&gt;15")</t>
  </si>
  <si>
    <t>Average the Values where Type A AND Value over 15</t>
  </si>
  <si>
    <t>e.g.  =AVERAGEIFS(C7:C11,B7:B11,"A",C7:C11,"&gt;15")</t>
  </si>
  <si>
    <t>Label row 9 'yes' if Value&gt;15 AND Type A</t>
  </si>
  <si>
    <t>e.g.  =IF(AND(C9&gt;15,B9="A"),"yes","no")</t>
  </si>
  <si>
    <t>See the order: COUNTIFS starts with a (range, test) pair; SUMIFS/AVERAGEIFS start with the range to add/average, THEN the pairs.</t>
  </si>
  <si>
    <t>Data: Club Data</t>
  </si>
  <si>
    <t>Your blended member table  (MembershipType=C, Tenure=F, Amount=G, Method=H)</t>
  </si>
  <si>
    <t>MemberID</t>
  </si>
  <si>
    <t>Name</t>
  </si>
  <si>
    <t>MembershipType</t>
  </si>
  <si>
    <t>JoinYear</t>
  </si>
  <si>
    <t>MemberSegment</t>
  </si>
  <si>
    <t>Tenure</t>
  </si>
  <si>
    <t>Amount</t>
  </si>
  <si>
    <t>Method</t>
  </si>
  <si>
    <t>AmountReview</t>
  </si>
  <si>
    <t>Aisha Khan</t>
  </si>
  <si>
    <t>Adult</t>
  </si>
  <si>
    <t>Full</t>
  </si>
  <si>
    <t>Established</t>
  </si>
  <si>
    <t>Direct Debit</t>
  </si>
  <si>
    <t>Standard</t>
  </si>
  <si>
    <t>Tom Reilly</t>
  </si>
  <si>
    <t>Family</t>
  </si>
  <si>
    <t>Household</t>
  </si>
  <si>
    <t>High</t>
  </si>
  <si>
    <t>Grace O'Neil</t>
  </si>
  <si>
    <t>Junior</t>
  </si>
  <si>
    <t>Concession</t>
  </si>
  <si>
    <t>Recent</t>
  </si>
  <si>
    <t>Card</t>
  </si>
  <si>
    <t>Low</t>
  </si>
  <si>
    <t>David Patel</t>
  </si>
  <si>
    <t>Senior</t>
  </si>
  <si>
    <t>Veteran</t>
  </si>
  <si>
    <t>Maria Santos</t>
  </si>
  <si>
    <t>Liam Walsh</t>
  </si>
  <si>
    <t>Cash</t>
  </si>
  <si>
    <t>Chloe Bennett</t>
  </si>
  <si>
    <t>Noah Fischer</t>
  </si>
  <si>
    <t>Priya Sharma</t>
  </si>
  <si>
    <t>James Murray</t>
  </si>
  <si>
    <t>Sofia Rossi</t>
  </si>
  <si>
    <t>Ben Carter</t>
  </si>
  <si>
    <t>Hannah Lee</t>
  </si>
  <si>
    <t>Omar Hassan</t>
  </si>
  <si>
    <t>Ella Thompson</t>
  </si>
  <si>
    <t>Escalate</t>
  </si>
  <si>
    <t>Jack Robinson</t>
  </si>
  <si>
    <t>Mia Nguyen</t>
  </si>
  <si>
    <t>Daniel Clarke</t>
  </si>
  <si>
    <t>Zara Ahmed</t>
  </si>
  <si>
    <t>Lucas Meyer</t>
  </si>
  <si>
    <t>Freya Scott</t>
  </si>
  <si>
    <t>Adam Foster</t>
  </si>
  <si>
    <t>Isla Murphy</t>
  </si>
  <si>
    <t>Task 1 - COUNTIFS: count on several conditions</t>
  </si>
  <si>
    <t>All conditions must be true</t>
  </si>
  <si>
    <t>MembershipType=C, Tenure=F, Amount=G, Method=H (rows 5:27). COUNTIFS takes condition pairs: (range1, test1, range2, test2).</t>
  </si>
  <si>
    <t>How many members are Adult AND a Recent joiner</t>
  </si>
  <si>
    <t>e.g.  =COUNTIFS('Club Data'!C5:C27,"Adult",'Club Data'!F5:F27,"Recent")</t>
  </si>
  <si>
    <t>Explore: try =MAXIFS(G5:G27,H5:H27,"Card") — the biggest Card payment, in one formula. MINIFS works the same way.</t>
  </si>
  <si>
    <t>How many payments are Card AND over 100</t>
  </si>
  <si>
    <t>e.g.  =COUNTIFS('Club Data'!H5:H27,"Card",'Club Data'!G5:G27,"&gt;100")</t>
  </si>
  <si>
    <t>💡  Two conditions found the outlier precisely: only ONE payment is both Card and over 100. Combining conditions is how you zero in on exactly the rows you want.</t>
  </si>
  <si>
    <t>Task 2 - SUMIFS and AVERAGEIFS</t>
  </si>
  <si>
    <t>Sum/average range FIRST, then the condition pairs</t>
  </si>
  <si>
    <t>The big difference from Module 8: SUMIFS and AVERAGEIFS put the range to add/average FIRST, then the (range, test) pairs. Amount=G, Method=H, MembershipType=C.</t>
  </si>
  <si>
    <t>Total of Direct Debit payments that are 50 or more</t>
  </si>
  <si>
    <t>e.g.  =SUMIFS('Club Data'!G5:G27,'Club Data'!H5:H27,"Direct Debit",'Club Data'!G5:G27,"&gt;=50")</t>
  </si>
  <si>
    <t>Explore: deliberately put the sum-range LAST (the SUMIF order) and see what happens — knowing the failure mode beats memorising the rule.</t>
  </si>
  <si>
    <t>Average payment of Adult members paying by Direct Debit</t>
  </si>
  <si>
    <t>e.g.  =AVERAGEIFS('Club Data'!G5:G27,'Club Data'!H5:H27,"Direct Debit",'Club Data'!C5:C27,"Adult")</t>
  </si>
  <si>
    <t>💡  If a SUMIFS returns an error or 0 unexpectedly, check you put the SUM range first - swapping it with the first test range is the classic mistake.</t>
  </si>
  <si>
    <t>Task 3 - IF with AND / OR</t>
  </si>
  <si>
    <t>Label a row from a combined test</t>
  </si>
  <si>
    <t>AND( ) is true only if EVERY test inside is true. OR( ) is true if ANY test is true. Drop them inside an IF to label a row.</t>
  </si>
  <si>
    <t>Row 19: 'Escalate' if Amount&gt;100 AND Method is Card, else 'Normal'</t>
  </si>
  <si>
    <t>e.g.  =IF(AND('Club Data'!G19&gt;100,'Club Data'!H19="Card"),"Escalate","Normal")</t>
  </si>
  <si>
    <t>Explore: rewrite the OR test without OR: =COUNTIF on each type, or nested IFs. Which reads best? Distinction is choosing the clearest tool, not the cleverest.</t>
  </si>
  <si>
    <t>Row 7: 'Concession' if type is Junior OR Senior, else 'Full price'</t>
  </si>
  <si>
    <t>e.g.  =IF(OR('Club Data'!C7="Junior",'Club Data'!C7="Senior"),"Concession","Full price")</t>
  </si>
  <si>
    <t>💡  AND narrows (all must be true); OR widens (any will do). Choosing the right one is the whole skill - get it wrong and you include or exclude the wrong rows.</t>
  </si>
  <si>
    <t>Support - the IFS family</t>
  </si>
  <si>
    <t>Type = first, then the function.</t>
  </si>
  <si>
    <t>COUNTIFS</t>
  </si>
  <si>
    <t>COUNTIFS(range1, test1, range2, test2, ...). Counts rows where ALL tests are true.</t>
  </si>
  <si>
    <t>SUMIFS</t>
  </si>
  <si>
    <t>SUMIFS(sum_range, range1, test1, range2, test2, ...). NOTE: sum_range comes FIRST.</t>
  </si>
  <si>
    <t>AVERAGEIFS</t>
  </si>
  <si>
    <t>AVERAGEIFS(average_range, range1, test1, ...). Like SUMIFS - the range to average comes first.</t>
  </si>
  <si>
    <t>SUMIF vs SUMIFS</t>
  </si>
  <si>
    <t>SUMIF(test_range, test, sum_range) - sum range LAST. SUMIFS(sum_range, test_range, test, ...) - sum range FIRST. Easy to mix up.</t>
  </si>
  <si>
    <t>AND</t>
  </si>
  <si>
    <t>AND(test1, test2, ...) is TRUE only if every test is true. Use inside IF.</t>
  </si>
  <si>
    <t>OR</t>
  </si>
  <si>
    <t>OR(test1, test2, ...) is TRUE if any test is true. Use inside IF.</t>
  </si>
  <si>
    <t>IF with AND/OR</t>
  </si>
  <si>
    <t>IF(AND(...),"yes","no") or IF(OR(...),"yes","no").</t>
  </si>
  <si>
    <t>Sheet name with a space</t>
  </si>
  <si>
    <t>Wrap it in apostrophes: 'Club Data'!G5:G27.</t>
  </si>
  <si>
    <t>Stretch - three conditions, and an audit hint</t>
  </si>
  <si>
    <t>Stack more conditions; think about checking</t>
  </si>
  <si>
    <t>Count members who are Adult AND Direct Debit AND Recent joiners</t>
  </si>
  <si>
    <t>e.g.  =COUNTIFS('Club Data'!C5:C27,"Adult",'Club Data'!H5:H27,"Direct Debit",'Club Data'!F5:F27,"Recent")</t>
  </si>
  <si>
    <t>Explore: add a fourth condition (Amount&gt;=35) and predict before you press Enter. Each condition can only keep the count the same or shrink it — why?</t>
  </si>
  <si>
    <t>Reasoning prompts (write your own - no marking)</t>
  </si>
  <si>
    <t>You used Card AND &gt;100 to find the outlier. How is combining conditions a quick AUDIT technique?</t>
  </si>
  <si>
    <t>When would AND give you the wrong answer and OR be what you actually meant (or vice versa)?</t>
  </si>
  <si>
    <t>Why does SUMIFS put the sum-range first while SUMIF puts it last - and how will you remember which is which?</t>
  </si>
  <si>
    <t>Confidence &amp; Next Steps</t>
  </si>
  <si>
    <t>Your readiness gate for Module 10</t>
  </si>
  <si>
    <t>Mastery gate - ready for Module 10 when you can honestly tick all of these</t>
  </si>
  <si>
    <t>Type x in each yellow box you can tick.</t>
  </si>
  <si>
    <t>I can use SUMIFS and AVERAGEIFS, with the sum-range first</t>
  </si>
  <si>
    <t>I can combine IF with AND and with OR</t>
  </si>
  <si>
    <t>I can explain when to use AND vs OR</t>
  </si>
  <si>
    <t>I used two conditions to pinpoint the Card-over-100 outlier</t>
  </si>
  <si>
    <t>Re-rate your confidence (compare with your baseline)</t>
  </si>
  <si>
    <t>Seeing these rise from your Module 9 baseline is the goal.</t>
  </si>
  <si>
    <t>Now (1-5)</t>
  </si>
  <si>
    <t>Next up - Module 10: Forecasting &amp; Regression (a stretch beyond core Level 3). Using a 24-month club history, you'll project a trend forward and fit a simple straight-line relationship between two measures.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</si>
</sst>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18" x14ac:knownFonts="1">
    <font>
      <sz val="11"/>
      <color theme="1"/>
      <name val="Calibri"/>
      <charset val="1"/>
    </font>
    <font>
      <b/>
      <sz val="18"/>
      <color rgb="FFFFFFFF"/>
      <name val="Arial"/>
      <family val="2"/>
    </font>
    <font>
      <b/>
      <sz val="7"/>
      <color rgb="FF8C8C8C"/>
      <name val="Arial"/>
      <family val="2"/>
    </font>
    <font>
      <sz val="11"/>
      <color rgb="FFFFFFFF"/>
      <name val="Arial"/>
      <family val="2"/>
    </font>
    <font>
      <sz val="8"/>
      <color rgb="FF595959"/>
      <name val="Arial"/>
      <family val="2"/>
    </font>
    <font>
      <b/>
      <sz val="8"/>
      <color rgb="FFFFFFFF"/>
      <name val="Arial"/>
      <family val="2"/>
    </font>
    <font>
      <sz val="11"/>
      <color rgb="FF000000"/>
      <name val="Arial"/>
      <family val="2"/>
    </font>
    <font>
      <b/>
      <sz val="12"/>
      <color rgb="FF1F3B57"/>
      <name val="Arial"/>
      <family val="2"/>
    </font>
    <font>
      <b/>
      <sz val="11"/>
      <color rgb="FF1F3B57"/>
      <name val="Arial"/>
      <family val="2"/>
    </font>
    <font>
      <sz val="11"/>
      <color rgb="FF006100"/>
      <name val="Arial"/>
      <family val="2"/>
    </font>
    <font>
      <b/>
      <sz val="10.5"/>
      <color rgb="FFFFFFFF"/>
      <name val="Arial"/>
      <family val="2"/>
    </font>
    <font>
      <b/>
      <sz val="10"/>
      <color rgb="FF1F6B6B"/>
      <name val="Arial"/>
      <family val="2"/>
    </font>
    <font>
      <i/>
      <sz val="10"/>
      <color rgb="FF555555"/>
      <name val="Arial"/>
      <family val="2"/>
    </font>
    <font>
      <b/>
      <sz val="11"/>
      <name val="Arial"/>
      <family val="2"/>
    </font>
    <font>
      <i/>
      <sz val="9.5"/>
      <color rgb="FF3F6363"/>
      <name val="Arial"/>
      <family val="2"/>
    </font>
    <font>
      <sz val="11"/>
      <color rgb="FF2E8B8B"/>
      <name val="Arial"/>
      <family val="2"/>
    </font>
    <font>
      <b/>
      <sz val="11"/>
      <color rgb="FFFFFFFF"/>
      <name val="Arial"/>
      <family val="2"/>
    </font>
    <font>
      <sz val="10.5"/>
      <color rgb="FF5B4A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2E8B8B"/>
        <bgColor rgb="FF2E75B6"/>
      </patternFill>
    </fill>
    <fill>
      <patternFill patternType="solid">
        <fgColor rgb="FFE2E6EA"/>
        <bgColor rgb="FFEDEDED"/>
      </patternFill>
    </fill>
    <fill>
      <patternFill patternType="solid">
        <fgColor rgb="FFEAF2F2"/>
        <bgColor rgb="FFEFF6F6"/>
      </patternFill>
    </fill>
    <fill>
      <patternFill patternType="solid">
        <fgColor rgb="FFC6EFCE"/>
        <bgColor rgb="FFE2E6EA"/>
      </patternFill>
    </fill>
    <fill>
      <patternFill patternType="solid">
        <fgColor rgb="FFFFF3C4"/>
        <bgColor rgb="FFFDF4E3"/>
      </patternFill>
    </fill>
    <fill>
      <patternFill patternType="solid">
        <fgColor rgb="FFEDEDED"/>
        <bgColor rgb="FFEAF2F2"/>
      </patternFill>
    </fill>
    <fill>
      <patternFill patternType="solid">
        <fgColor rgb="FFEFF6F6"/>
        <bgColor rgb="FFF2F7F7"/>
      </patternFill>
    </fill>
    <fill>
      <patternFill patternType="solid">
        <fgColor rgb="FFF2F7F7"/>
        <bgColor rgb="FFEFF6F6"/>
      </patternFill>
    </fill>
    <fill>
      <patternFill patternType="solid">
        <fgColor rgb="FFFFFFFF"/>
        <bgColor rgb="FFF2F7F7"/>
      </patternFill>
    </fill>
    <fill>
      <patternFill patternType="solid">
        <fgColor rgb="FFFDF4E3"/>
        <bgColor rgb="FFF2F7F7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2E8B8B"/>
      </bottom>
      <diagonal/>
    </border>
    <border>
      <left style="thick">
        <color rgb="FF2E8B8B"/>
      </left>
      <right/>
      <top/>
      <bottom/>
      <diagonal/>
    </border>
    <border>
      <left style="thick">
        <color rgb="FF2E8B8B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8B8B"/>
      </left>
      <right style="hair">
        <color rgb="FF9DC3C3"/>
      </right>
      <top style="hair">
        <color rgb="FF9DC3C3"/>
      </top>
      <bottom style="hair">
        <color rgb="FF9DC3C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8A33D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4" fillId="9" borderId="7" xfId="0" applyFont="1" applyFill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 indent="1"/>
    </xf>
    <xf numFmtId="0" fontId="6" fillId="0" borderId="5" xfId="0" applyFont="1" applyBorder="1" applyAlignment="1">
      <alignment vertical="top" wrapText="1"/>
    </xf>
    <xf numFmtId="0" fontId="10" fillId="2" borderId="0" xfId="0" applyFont="1" applyFill="1" applyAlignment="1">
      <alignment vertical="center" wrapText="1" indent="1"/>
    </xf>
    <xf numFmtId="0" fontId="9" fillId="6" borderId="4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6" fillId="5" borderId="3" xfId="0" applyFont="1" applyFill="1" applyBorder="1" applyAlignment="1">
      <alignment vertical="center" wrapText="1" indent="1"/>
    </xf>
    <xf numFmtId="0" fontId="7" fillId="5" borderId="2" xfId="0" applyFont="1" applyFill="1" applyBorder="1" applyAlignment="1">
      <alignment vertical="center" indent="1"/>
    </xf>
    <xf numFmtId="0" fontId="6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8" fillId="0" borderId="0" xfId="0" applyFont="1"/>
    <xf numFmtId="0" fontId="6" fillId="8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4" fillId="9" borderId="7" xfId="0" applyFont="1" applyFill="1" applyBorder="1" applyAlignment="1">
      <alignment vertical="top" wrapText="1"/>
    </xf>
    <xf numFmtId="0" fontId="16" fillId="2" borderId="1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/>
    </xf>
    <xf numFmtId="0" fontId="6" fillId="10" borderId="8" xfId="0" applyFont="1" applyFill="1" applyBorder="1"/>
    <xf numFmtId="164" fontId="6" fillId="10" borderId="8" xfId="0" applyNumberFormat="1" applyFont="1" applyFill="1" applyBorder="1" applyAlignment="1">
      <alignment horizontal="right"/>
    </xf>
    <xf numFmtId="0" fontId="6" fillId="11" borderId="8" xfId="0" applyFont="1" applyFill="1" applyBorder="1" applyAlignment="1">
      <alignment horizontal="center"/>
    </xf>
    <xf numFmtId="0" fontId="6" fillId="11" borderId="8" xfId="0" applyFont="1" applyFill="1" applyBorder="1"/>
    <xf numFmtId="164" fontId="6" fillId="11" borderId="8" xfId="0" applyNumberFormat="1" applyFont="1" applyFill="1" applyBorder="1" applyAlignment="1">
      <alignment horizontal="right"/>
    </xf>
    <xf numFmtId="0" fontId="8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7" fillId="12" borderId="9" xfId="0" applyFont="1" applyFill="1" applyBorder="1" applyAlignment="1">
      <alignment vertical="top" wrapText="1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10"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7F7"/>
      <rgbColor rgb="FFFF00FF"/>
      <rgbColor rgb="FF00FFFF"/>
      <rgbColor rgb="FF9C0006"/>
      <rgbColor rgb="FF006100"/>
      <rgbColor rgb="FF000080"/>
      <rgbColor rgb="FF548235"/>
      <rgbColor rgb="FF800080"/>
      <rgbColor rgb="FF1F6B6B"/>
      <rgbColor rgb="FFBFBFBF"/>
      <rgbColor rgb="FF7F8C99"/>
      <rgbColor rgb="FF9999FF"/>
      <rgbColor rgb="FF7030A0"/>
      <rgbColor rgb="FFFFF3C4"/>
      <rgbColor rgb="FFEA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3F6363"/>
      <rgbColor rgb="FF0000FF"/>
      <rgbColor rgb="FF00CCFF"/>
      <rgbColor rgb="FFEFF6F6"/>
      <rgbColor rgb="FFC6EFCE"/>
      <rgbColor rgb="FFFDF4E3"/>
      <rgbColor rgb="FF9DC3C3"/>
      <rgbColor rgb="FFEDEDED"/>
      <rgbColor rgb="FFE2E6EA"/>
      <rgbColor rgb="FFFFC7CE"/>
      <rgbColor rgb="FF2E75B6"/>
      <rgbColor rgb="FF33CCCC"/>
      <rgbColor rgb="FF99CC00"/>
      <rgbColor rgb="FFFFCC00"/>
      <rgbColor rgb="FFE8A33D"/>
      <rgbColor rgb="FFBF8F00"/>
      <rgbColor rgb="FF595959"/>
      <rgbColor rgb="FF8C8C8C"/>
      <rgbColor rgb="FF003366"/>
      <rgbColor rgb="FF2E8B8B"/>
      <rgbColor rgb="FF003300"/>
      <rgbColor rgb="FF5B4A1F"/>
      <rgbColor rgb="FF993300"/>
      <rgbColor rgb="FF993366"/>
      <rgbColor rgb="FF555555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B57"/>
  </sheetPr>
  <dimension ref="A1:V1000"/>
  <sheetViews>
    <sheetView showGridLines="0" zoomScaleNormal="100" workbookViewId="0">
      <selection activeCell="G25" sqref="G25:H28"/>
    </sheetView>
  </sheetViews>
  <sheetFormatPr defaultColWidth="14.42578125" defaultRowHeight="15" x14ac:dyDescent="0.25"/>
  <cols>
    <col min="1" max="1" width="3" customWidth="1"/>
    <col min="2" max="2" width="24" customWidth="1"/>
    <col min="3" max="5" width="14" customWidth="1"/>
    <col min="6" max="6" width="16" customWidth="1"/>
    <col min="7" max="7" width="14" customWidth="1"/>
    <col min="8" max="8" width="16" customWidth="1"/>
    <col min="10" max="22" width="3.42578125" customWidth="1"/>
  </cols>
  <sheetData>
    <row r="1" spans="1:22" ht="30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J1" s="14" t="s">
        <v>1</v>
      </c>
    </row>
    <row r="2" spans="1:22" ht="21.75" customHeight="1" x14ac:dyDescent="0.25">
      <c r="A2" s="12" t="s">
        <v>2</v>
      </c>
      <c r="B2" s="12"/>
      <c r="C2" s="12"/>
      <c r="D2" s="12"/>
      <c r="E2" s="12"/>
      <c r="F2" s="12"/>
      <c r="G2" s="12"/>
      <c r="H2" s="12"/>
      <c r="J2" s="15">
        <v>1</v>
      </c>
      <c r="K2" s="15">
        <v>2</v>
      </c>
      <c r="L2" s="15">
        <v>3</v>
      </c>
      <c r="M2" s="15">
        <v>4</v>
      </c>
      <c r="N2" s="15">
        <v>5</v>
      </c>
      <c r="O2" s="15">
        <v>6</v>
      </c>
      <c r="P2" s="15">
        <v>7</v>
      </c>
      <c r="Q2" s="15">
        <v>8</v>
      </c>
      <c r="R2" s="16">
        <v>9</v>
      </c>
      <c r="S2" s="15">
        <v>10</v>
      </c>
      <c r="T2" s="15">
        <v>11</v>
      </c>
      <c r="U2" s="15">
        <v>12</v>
      </c>
      <c r="V2" s="15">
        <v>13</v>
      </c>
    </row>
    <row r="3" spans="1:22" ht="15" customHeight="1" x14ac:dyDescent="0.25"/>
    <row r="4" spans="1:22" ht="57.7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</row>
    <row r="5" spans="1:22" ht="15" customHeight="1" x14ac:dyDescent="0.25"/>
    <row r="6" spans="1:22" ht="24" customHeight="1" x14ac:dyDescent="0.25">
      <c r="A6" s="10" t="s">
        <v>4</v>
      </c>
      <c r="B6" s="10"/>
      <c r="C6" s="10"/>
      <c r="D6" s="10"/>
      <c r="E6" s="10"/>
      <c r="F6" s="10"/>
      <c r="G6" s="10"/>
      <c r="H6" s="10"/>
    </row>
    <row r="7" spans="1:22" ht="19.5" customHeight="1" x14ac:dyDescent="0.25">
      <c r="B7" s="9" t="s">
        <v>5</v>
      </c>
      <c r="C7" s="9"/>
      <c r="D7" s="9"/>
      <c r="E7" s="9"/>
      <c r="F7" s="9"/>
      <c r="G7" s="9"/>
      <c r="H7" s="9"/>
    </row>
    <row r="8" spans="1:22" ht="15" customHeight="1" x14ac:dyDescent="0.25">
      <c r="B8" s="9"/>
      <c r="C8" s="9"/>
      <c r="D8" s="9"/>
      <c r="E8" s="9"/>
      <c r="F8" s="9"/>
      <c r="G8" s="9"/>
      <c r="H8" s="9"/>
    </row>
    <row r="9" spans="1:22" ht="19.5" customHeight="1" x14ac:dyDescent="0.25">
      <c r="B9" s="9" t="s">
        <v>6</v>
      </c>
      <c r="C9" s="9"/>
      <c r="D9" s="9"/>
      <c r="E9" s="9"/>
      <c r="F9" s="9"/>
      <c r="G9" s="9"/>
      <c r="H9" s="9"/>
    </row>
    <row r="10" spans="1:22" ht="15" customHeight="1" x14ac:dyDescent="0.25">
      <c r="B10" s="9"/>
      <c r="C10" s="9"/>
      <c r="D10" s="9"/>
      <c r="E10" s="9"/>
      <c r="F10" s="9"/>
      <c r="G10" s="9"/>
      <c r="H10" s="9"/>
    </row>
    <row r="11" spans="1:22" ht="18" customHeight="1" x14ac:dyDescent="0.25">
      <c r="A11" s="8" t="s">
        <v>7</v>
      </c>
      <c r="B11" s="8"/>
      <c r="C11" s="8"/>
      <c r="D11" s="8"/>
      <c r="E11" s="8"/>
      <c r="F11" s="8"/>
      <c r="G11" s="8"/>
      <c r="H11" s="8"/>
    </row>
    <row r="12" spans="1:22" ht="15" customHeight="1" x14ac:dyDescent="0.25"/>
    <row r="13" spans="1:22" ht="24" customHeight="1" x14ac:dyDescent="0.25">
      <c r="A13" s="10" t="s">
        <v>8</v>
      </c>
      <c r="B13" s="10"/>
      <c r="C13" s="10"/>
      <c r="D13" s="10"/>
      <c r="E13" s="10"/>
      <c r="F13" s="10"/>
      <c r="G13" s="10"/>
      <c r="H13" s="10"/>
    </row>
    <row r="14" spans="1:22" ht="15.75" customHeight="1" x14ac:dyDescent="0.25">
      <c r="A14" s="11" t="s">
        <v>9</v>
      </c>
      <c r="B14" s="11"/>
      <c r="C14" s="11"/>
      <c r="D14" s="11"/>
      <c r="E14" s="11"/>
      <c r="F14" s="11"/>
      <c r="G14" s="11"/>
      <c r="H14" s="11"/>
    </row>
    <row r="15" spans="1:22" ht="15.75" customHeight="1" x14ac:dyDescent="0.25">
      <c r="A15" s="11" t="s">
        <v>10</v>
      </c>
      <c r="B15" s="11"/>
      <c r="C15" s="11"/>
      <c r="D15" s="11"/>
      <c r="E15" s="11"/>
      <c r="F15" s="11"/>
      <c r="G15" s="11"/>
      <c r="H15" s="11"/>
    </row>
    <row r="16" spans="1:22" ht="15.75" customHeight="1" x14ac:dyDescent="0.25">
      <c r="A16" s="11" t="s">
        <v>11</v>
      </c>
      <c r="B16" s="11"/>
      <c r="C16" s="11"/>
      <c r="D16" s="11"/>
      <c r="E16" s="11"/>
      <c r="F16" s="11"/>
      <c r="G16" s="11"/>
      <c r="H16" s="11"/>
    </row>
    <row r="17" spans="1:8" ht="15" customHeight="1" x14ac:dyDescent="0.25"/>
    <row r="18" spans="1:8" ht="24" customHeight="1" x14ac:dyDescent="0.25">
      <c r="A18" s="10" t="s">
        <v>12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25">
      <c r="B19" s="7" t="s">
        <v>13</v>
      </c>
      <c r="C19" s="7"/>
      <c r="D19" s="7"/>
      <c r="E19" s="7"/>
      <c r="F19" s="7"/>
      <c r="G19" s="7"/>
      <c r="H19" s="7"/>
    </row>
    <row r="20" spans="1:8" ht="15" customHeight="1" x14ac:dyDescent="0.25">
      <c r="B20" s="7"/>
      <c r="C20" s="7"/>
      <c r="D20" s="7"/>
      <c r="E20" s="7"/>
      <c r="F20" s="7"/>
      <c r="G20" s="7"/>
      <c r="H20" s="7"/>
    </row>
    <row r="21" spans="1:8" ht="15.75" customHeight="1" x14ac:dyDescent="0.25">
      <c r="B21" s="7"/>
      <c r="C21" s="7"/>
      <c r="D21" s="7"/>
      <c r="E21" s="7"/>
      <c r="F21" s="7"/>
      <c r="G21" s="7"/>
      <c r="H21" s="7"/>
    </row>
    <row r="22" spans="1:8" ht="15.75" customHeight="1" x14ac:dyDescent="0.25"/>
    <row r="23" spans="1:8" ht="24" customHeight="1" x14ac:dyDescent="0.25">
      <c r="A23" s="10" t="s">
        <v>14</v>
      </c>
      <c r="B23" s="10"/>
      <c r="C23" s="10"/>
      <c r="D23" s="10"/>
      <c r="E23" s="10"/>
      <c r="F23" s="10"/>
      <c r="G23" s="10"/>
      <c r="H23" s="10"/>
    </row>
    <row r="24" spans="1:8" ht="18" customHeight="1" x14ac:dyDescent="0.25">
      <c r="B24" s="6" t="s">
        <v>15</v>
      </c>
      <c r="C24" s="6"/>
      <c r="D24" s="6"/>
      <c r="E24" s="6"/>
      <c r="F24" s="6"/>
      <c r="G24" s="17" t="s">
        <v>16</v>
      </c>
    </row>
    <row r="25" spans="1:8" ht="15" customHeight="1" x14ac:dyDescent="0.25">
      <c r="B25" s="5" t="s">
        <v>17</v>
      </c>
      <c r="C25" s="5"/>
      <c r="D25" s="5"/>
      <c r="E25" s="5"/>
      <c r="F25" s="5"/>
      <c r="G25" s="35"/>
      <c r="H25" s="35"/>
    </row>
    <row r="26" spans="1:8" ht="15" customHeight="1" x14ac:dyDescent="0.25">
      <c r="B26" s="5" t="s">
        <v>18</v>
      </c>
      <c r="C26" s="5"/>
      <c r="D26" s="5"/>
      <c r="E26" s="5"/>
      <c r="F26" s="5"/>
      <c r="G26" s="35"/>
      <c r="H26" s="35"/>
    </row>
    <row r="27" spans="1:8" ht="15" customHeight="1" x14ac:dyDescent="0.25">
      <c r="B27" s="5" t="s">
        <v>19</v>
      </c>
      <c r="C27" s="5"/>
      <c r="D27" s="5"/>
      <c r="E27" s="5"/>
      <c r="F27" s="5"/>
      <c r="G27" s="35"/>
      <c r="H27" s="35"/>
    </row>
    <row r="28" spans="1:8" ht="15" customHeight="1" x14ac:dyDescent="0.25">
      <c r="B28" s="5" t="s">
        <v>20</v>
      </c>
      <c r="C28" s="5"/>
      <c r="D28" s="5"/>
      <c r="E28" s="5"/>
      <c r="F28" s="5"/>
      <c r="G28" s="35"/>
      <c r="H28" s="35"/>
    </row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23">
    <mergeCell ref="B28:F28"/>
    <mergeCell ref="G28:H28"/>
    <mergeCell ref="B25:F25"/>
    <mergeCell ref="G25:H25"/>
    <mergeCell ref="B26:F26"/>
    <mergeCell ref="G26:H26"/>
    <mergeCell ref="B27:F27"/>
    <mergeCell ref="G27:H27"/>
    <mergeCell ref="A16:H16"/>
    <mergeCell ref="A18:H18"/>
    <mergeCell ref="B19:H21"/>
    <mergeCell ref="A23:H23"/>
    <mergeCell ref="B24:F24"/>
    <mergeCell ref="B9:H10"/>
    <mergeCell ref="A11:H11"/>
    <mergeCell ref="A13:H13"/>
    <mergeCell ref="A14:H14"/>
    <mergeCell ref="A15:H15"/>
    <mergeCell ref="A1:H1"/>
    <mergeCell ref="A2:H2"/>
    <mergeCell ref="A4:H4"/>
    <mergeCell ref="A6:H6"/>
    <mergeCell ref="B7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B8B"/>
  </sheetPr>
  <dimension ref="A1:J1000"/>
  <sheetViews>
    <sheetView showGridLines="0" zoomScaleNormal="100" workbookViewId="0">
      <selection activeCell="F14" sqref="F14"/>
    </sheetView>
  </sheetViews>
  <sheetFormatPr defaultColWidth="14.42578125" defaultRowHeight="15" x14ac:dyDescent="0.25"/>
  <cols>
    <col min="1" max="1" width="3" customWidth="1"/>
    <col min="2" max="2" width="32" customWidth="1"/>
    <col min="3" max="3" width="14" customWidth="1"/>
    <col min="4" max="4" width="30" customWidth="1"/>
    <col min="5" max="5" width="12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21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22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30" customHeight="1" x14ac:dyDescent="0.25">
      <c r="A4" s="11" t="s">
        <v>23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15" customHeight="1" x14ac:dyDescent="0.25">
      <c r="B6" s="18" t="s">
        <v>24</v>
      </c>
      <c r="C6" s="18" t="s">
        <v>25</v>
      </c>
    </row>
    <row r="7" spans="1:10" ht="15" customHeight="1" x14ac:dyDescent="0.25">
      <c r="B7" s="19" t="s">
        <v>26</v>
      </c>
      <c r="C7" s="19">
        <v>10</v>
      </c>
    </row>
    <row r="8" spans="1:10" ht="15" customHeight="1" x14ac:dyDescent="0.25">
      <c r="B8" s="19" t="s">
        <v>27</v>
      </c>
      <c r="C8" s="19">
        <v>20</v>
      </c>
    </row>
    <row r="9" spans="1:10" ht="15" customHeight="1" x14ac:dyDescent="0.25">
      <c r="B9" s="19" t="s">
        <v>26</v>
      </c>
      <c r="C9" s="19">
        <v>30</v>
      </c>
    </row>
    <row r="10" spans="1:10" ht="15" customHeight="1" x14ac:dyDescent="0.25">
      <c r="B10" s="19" t="s">
        <v>27</v>
      </c>
      <c r="C10" s="19">
        <v>40</v>
      </c>
    </row>
    <row r="11" spans="1:10" ht="15" customHeight="1" x14ac:dyDescent="0.25">
      <c r="B11" s="19" t="s">
        <v>26</v>
      </c>
      <c r="C11" s="19">
        <v>50</v>
      </c>
    </row>
    <row r="12" spans="1:10" ht="15" customHeight="1" x14ac:dyDescent="0.25"/>
    <row r="13" spans="1:10" ht="18" customHeight="1" x14ac:dyDescent="0.25">
      <c r="B13" s="4" t="s">
        <v>28</v>
      </c>
      <c r="C13" s="4"/>
      <c r="D13" s="3" t="s">
        <v>29</v>
      </c>
      <c r="E13" s="3"/>
      <c r="F13" s="20" t="s">
        <v>30</v>
      </c>
      <c r="G13" s="20" t="s">
        <v>31</v>
      </c>
      <c r="J13" s="21" t="s">
        <v>32</v>
      </c>
    </row>
    <row r="14" spans="1:10" ht="30" customHeight="1" x14ac:dyDescent="0.25">
      <c r="B14" s="5" t="s">
        <v>33</v>
      </c>
      <c r="C14" s="5"/>
      <c r="D14" s="2" t="s">
        <v>34</v>
      </c>
      <c r="E14" s="2"/>
      <c r="F14" s="36"/>
      <c r="G14" s="22" t="str">
        <f>IF(F14="","",IFERROR(IF(ABS(F14-2)&lt;0.01,"✓  Correct","✗  Try again"),"✗  Try again"))</f>
        <v/>
      </c>
      <c r="J14" s="1" t="s">
        <v>35</v>
      </c>
    </row>
    <row r="15" spans="1:10" ht="30" customHeight="1" x14ac:dyDescent="0.25">
      <c r="B15" s="5" t="s">
        <v>36</v>
      </c>
      <c r="C15" s="5"/>
      <c r="D15" s="2" t="s">
        <v>37</v>
      </c>
      <c r="E15" s="2"/>
      <c r="F15" s="36"/>
      <c r="G15" s="22" t="str">
        <f>IF(F15="","",IFERROR(IF(ABS(F15-80)&lt;0.01,"✓  Correct","✗  Try again"),"✗  Try again"))</f>
        <v/>
      </c>
      <c r="J15" s="1"/>
    </row>
    <row r="16" spans="1:10" ht="30" customHeight="1" x14ac:dyDescent="0.25">
      <c r="B16" s="5" t="s">
        <v>38</v>
      </c>
      <c r="C16" s="5"/>
      <c r="D16" s="2" t="s">
        <v>39</v>
      </c>
      <c r="E16" s="2"/>
      <c r="F16" s="36"/>
      <c r="G16" s="22" t="str">
        <f>IF(F16="","",IFERROR(IF(ABS(F16-40)&lt;0.01,"✓  Correct","✗  Try again"),"✗  Try again"))</f>
        <v/>
      </c>
      <c r="J16" s="1"/>
    </row>
    <row r="17" spans="1:10" ht="30" customHeight="1" x14ac:dyDescent="0.25">
      <c r="B17" s="5" t="s">
        <v>40</v>
      </c>
      <c r="C17" s="5"/>
      <c r="D17" s="2" t="s">
        <v>41</v>
      </c>
      <c r="E17" s="2"/>
      <c r="F17" s="36"/>
      <c r="G17" s="22" t="str">
        <f>IF(F17="","",IF(ISNUMBER(SEARCH("yes",F17)),"✓  Correct","✗  Try again"))</f>
        <v/>
      </c>
      <c r="J17" s="1"/>
    </row>
    <row r="18" spans="1:10" ht="15" customHeight="1" x14ac:dyDescent="0.25"/>
    <row r="19" spans="1:10" ht="24" customHeight="1" x14ac:dyDescent="0.25">
      <c r="A19" s="33" t="s">
        <v>42</v>
      </c>
      <c r="B19" s="33"/>
      <c r="C19" s="33"/>
      <c r="D19" s="33"/>
      <c r="E19" s="33"/>
      <c r="F19" s="33"/>
      <c r="G19" s="33"/>
      <c r="H19" s="33"/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5">
    <mergeCell ref="A19:H19"/>
    <mergeCell ref="B14:C14"/>
    <mergeCell ref="D14:E14"/>
    <mergeCell ref="J14:J17"/>
    <mergeCell ref="B15:C15"/>
    <mergeCell ref="D15:E15"/>
    <mergeCell ref="B16:C16"/>
    <mergeCell ref="D16:E16"/>
    <mergeCell ref="B17:C17"/>
    <mergeCell ref="D17:E17"/>
    <mergeCell ref="A1:H1"/>
    <mergeCell ref="A2:H2"/>
    <mergeCell ref="A4:H4"/>
    <mergeCell ref="B13:C13"/>
    <mergeCell ref="D13:E13"/>
  </mergeCells>
  <conditionalFormatting sqref="G14:G17">
    <cfRule type="expression" dxfId="9" priority="2">
      <formula>ISNUMBER(SEARCH("Correct",G14))</formula>
    </cfRule>
    <cfRule type="expression" dxfId="8" priority="3">
      <formula>ISNUMBER(SEARCH("Try",G14))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99"/>
  </sheetPr>
  <dimension ref="A1:I1000"/>
  <sheetViews>
    <sheetView showGridLines="0" zoomScaleNormal="100" workbookViewId="0">
      <pane ySplit="4" topLeftCell="A5" activePane="bottomLeft" state="frozen"/>
      <selection pane="bottomLeft" sqref="A1:I1"/>
    </sheetView>
  </sheetViews>
  <sheetFormatPr defaultColWidth="14.42578125" defaultRowHeight="15" x14ac:dyDescent="0.25"/>
  <cols>
    <col min="1" max="1" width="11" customWidth="1"/>
    <col min="2" max="2" width="16" customWidth="1"/>
    <col min="3" max="3" width="17" customWidth="1"/>
    <col min="4" max="4" width="11" customWidth="1"/>
    <col min="5" max="5" width="16" customWidth="1"/>
    <col min="6" max="8" width="14" customWidth="1"/>
    <col min="9" max="9" width="15" customWidth="1"/>
    <col min="10" max="12" width="8.7109375" customWidth="1"/>
  </cols>
  <sheetData>
    <row r="1" spans="1:9" ht="30" customHeight="1" x14ac:dyDescent="0.25">
      <c r="A1" s="13" t="s">
        <v>43</v>
      </c>
      <c r="B1" s="13"/>
      <c r="C1" s="13"/>
      <c r="D1" s="13"/>
      <c r="E1" s="13"/>
      <c r="F1" s="13"/>
      <c r="G1" s="13"/>
      <c r="H1" s="13"/>
      <c r="I1" s="13"/>
    </row>
    <row r="2" spans="1:9" ht="21.75" customHeight="1" x14ac:dyDescent="0.25">
      <c r="A2" s="12" t="s">
        <v>44</v>
      </c>
      <c r="B2" s="12"/>
      <c r="C2" s="12"/>
      <c r="D2" s="12"/>
      <c r="E2" s="12"/>
      <c r="F2" s="12"/>
      <c r="G2" s="12"/>
      <c r="H2" s="12"/>
      <c r="I2" s="12"/>
    </row>
    <row r="3" spans="1:9" ht="15" customHeight="1" x14ac:dyDescent="0.25"/>
    <row r="4" spans="1:9" ht="19.5" customHeight="1" x14ac:dyDescent="0.25">
      <c r="A4" s="24" t="s">
        <v>45</v>
      </c>
      <c r="B4" s="24" t="s">
        <v>46</v>
      </c>
      <c r="C4" s="24" t="s">
        <v>47</v>
      </c>
      <c r="D4" s="24" t="s">
        <v>48</v>
      </c>
      <c r="E4" s="24" t="s">
        <v>49</v>
      </c>
      <c r="F4" s="24" t="s">
        <v>50</v>
      </c>
      <c r="G4" s="24" t="s">
        <v>51</v>
      </c>
      <c r="H4" s="24" t="s">
        <v>52</v>
      </c>
      <c r="I4" s="24" t="s">
        <v>53</v>
      </c>
    </row>
    <row r="5" spans="1:9" ht="15" customHeight="1" x14ac:dyDescent="0.25">
      <c r="A5" s="25">
        <v>1001</v>
      </c>
      <c r="B5" s="26" t="s">
        <v>54</v>
      </c>
      <c r="C5" s="26" t="s">
        <v>55</v>
      </c>
      <c r="D5" s="26">
        <v>2021</v>
      </c>
      <c r="E5" s="26" t="s">
        <v>56</v>
      </c>
      <c r="F5" s="26" t="s">
        <v>57</v>
      </c>
      <c r="G5" s="27">
        <v>35</v>
      </c>
      <c r="H5" s="26" t="s">
        <v>58</v>
      </c>
      <c r="I5" s="26" t="s">
        <v>59</v>
      </c>
    </row>
    <row r="6" spans="1:9" ht="15" customHeight="1" x14ac:dyDescent="0.25">
      <c r="A6" s="28">
        <v>1002</v>
      </c>
      <c r="B6" s="29" t="s">
        <v>60</v>
      </c>
      <c r="C6" s="29" t="s">
        <v>61</v>
      </c>
      <c r="D6" s="29">
        <v>2020</v>
      </c>
      <c r="E6" s="29" t="s">
        <v>62</v>
      </c>
      <c r="F6" s="29" t="s">
        <v>57</v>
      </c>
      <c r="G6" s="30">
        <v>55</v>
      </c>
      <c r="H6" s="29" t="s">
        <v>58</v>
      </c>
      <c r="I6" s="29" t="s">
        <v>63</v>
      </c>
    </row>
    <row r="7" spans="1:9" ht="15" customHeight="1" x14ac:dyDescent="0.25">
      <c r="A7" s="25">
        <v>1003</v>
      </c>
      <c r="B7" s="26" t="s">
        <v>64</v>
      </c>
      <c r="C7" s="26" t="s">
        <v>65</v>
      </c>
      <c r="D7" s="26">
        <v>2022</v>
      </c>
      <c r="E7" s="26" t="s">
        <v>66</v>
      </c>
      <c r="F7" s="26" t="s">
        <v>67</v>
      </c>
      <c r="G7" s="27">
        <v>20</v>
      </c>
      <c r="H7" s="26" t="s">
        <v>68</v>
      </c>
      <c r="I7" s="26" t="s">
        <v>69</v>
      </c>
    </row>
    <row r="8" spans="1:9" ht="15" customHeight="1" x14ac:dyDescent="0.25">
      <c r="A8" s="28">
        <v>1004</v>
      </c>
      <c r="B8" s="29" t="s">
        <v>70</v>
      </c>
      <c r="C8" s="29" t="s">
        <v>71</v>
      </c>
      <c r="D8" s="29">
        <v>2019</v>
      </c>
      <c r="E8" s="29" t="s">
        <v>66</v>
      </c>
      <c r="F8" s="29" t="s">
        <v>72</v>
      </c>
      <c r="G8" s="30">
        <v>28</v>
      </c>
      <c r="H8" s="29" t="s">
        <v>68</v>
      </c>
      <c r="I8" s="29" t="s">
        <v>69</v>
      </c>
    </row>
    <row r="9" spans="1:9" ht="15" customHeight="1" x14ac:dyDescent="0.25">
      <c r="A9" s="25">
        <v>1005</v>
      </c>
      <c r="B9" s="26" t="s">
        <v>73</v>
      </c>
      <c r="C9" s="26" t="s">
        <v>55</v>
      </c>
      <c r="D9" s="26">
        <v>2023</v>
      </c>
      <c r="E9" s="26" t="s">
        <v>56</v>
      </c>
      <c r="F9" s="26" t="s">
        <v>67</v>
      </c>
      <c r="G9" s="27">
        <v>35</v>
      </c>
      <c r="H9" s="26" t="s">
        <v>58</v>
      </c>
      <c r="I9" s="26" t="s">
        <v>59</v>
      </c>
    </row>
    <row r="10" spans="1:9" ht="15" customHeight="1" x14ac:dyDescent="0.25">
      <c r="A10" s="28">
        <v>1006</v>
      </c>
      <c r="B10" s="29" t="s">
        <v>74</v>
      </c>
      <c r="C10" s="29" t="s">
        <v>55</v>
      </c>
      <c r="D10" s="29">
        <v>2021</v>
      </c>
      <c r="E10" s="29" t="s">
        <v>56</v>
      </c>
      <c r="F10" s="29" t="s">
        <v>57</v>
      </c>
      <c r="G10" s="30">
        <v>35</v>
      </c>
      <c r="H10" s="29" t="s">
        <v>75</v>
      </c>
      <c r="I10" s="29" t="s">
        <v>59</v>
      </c>
    </row>
    <row r="11" spans="1:9" ht="15" customHeight="1" x14ac:dyDescent="0.25">
      <c r="A11" s="25">
        <v>1007</v>
      </c>
      <c r="B11" s="26" t="s">
        <v>76</v>
      </c>
      <c r="C11" s="26" t="s">
        <v>61</v>
      </c>
      <c r="D11" s="26">
        <v>2022</v>
      </c>
      <c r="E11" s="26" t="s">
        <v>62</v>
      </c>
      <c r="F11" s="26" t="s">
        <v>67</v>
      </c>
      <c r="G11" s="27">
        <v>55</v>
      </c>
      <c r="H11" s="26" t="s">
        <v>58</v>
      </c>
      <c r="I11" s="26" t="s">
        <v>63</v>
      </c>
    </row>
    <row r="12" spans="1:9" ht="15" customHeight="1" x14ac:dyDescent="0.25">
      <c r="A12" s="28">
        <v>1008</v>
      </c>
      <c r="B12" s="29" t="s">
        <v>77</v>
      </c>
      <c r="C12" s="29" t="s">
        <v>65</v>
      </c>
      <c r="D12" s="29">
        <v>2020</v>
      </c>
      <c r="E12" s="29" t="s">
        <v>66</v>
      </c>
      <c r="F12" s="29" t="s">
        <v>57</v>
      </c>
      <c r="G12" s="30">
        <v>20</v>
      </c>
      <c r="H12" s="29" t="s">
        <v>68</v>
      </c>
      <c r="I12" s="29" t="s">
        <v>69</v>
      </c>
    </row>
    <row r="13" spans="1:9" ht="15" customHeight="1" x14ac:dyDescent="0.25">
      <c r="A13" s="25">
        <v>1009</v>
      </c>
      <c r="B13" s="26" t="s">
        <v>78</v>
      </c>
      <c r="C13" s="26" t="s">
        <v>55</v>
      </c>
      <c r="D13" s="26">
        <v>2023</v>
      </c>
      <c r="E13" s="26" t="s">
        <v>56</v>
      </c>
      <c r="F13" s="26" t="s">
        <v>67</v>
      </c>
      <c r="G13" s="27">
        <v>35</v>
      </c>
      <c r="H13" s="26" t="s">
        <v>58</v>
      </c>
      <c r="I13" s="26" t="s">
        <v>59</v>
      </c>
    </row>
    <row r="14" spans="1:9" ht="15" customHeight="1" x14ac:dyDescent="0.25">
      <c r="A14" s="28">
        <v>1010</v>
      </c>
      <c r="B14" s="29" t="s">
        <v>79</v>
      </c>
      <c r="C14" s="29" t="s">
        <v>71</v>
      </c>
      <c r="D14" s="29">
        <v>2018</v>
      </c>
      <c r="E14" s="29" t="s">
        <v>66</v>
      </c>
      <c r="F14" s="29" t="s">
        <v>72</v>
      </c>
      <c r="G14" s="30">
        <v>28</v>
      </c>
      <c r="H14" s="29" t="s">
        <v>68</v>
      </c>
      <c r="I14" s="29" t="s">
        <v>69</v>
      </c>
    </row>
    <row r="15" spans="1:9" ht="15" customHeight="1" x14ac:dyDescent="0.25">
      <c r="A15" s="25">
        <v>1011</v>
      </c>
      <c r="B15" s="26" t="s">
        <v>80</v>
      </c>
      <c r="C15" s="26" t="s">
        <v>55</v>
      </c>
      <c r="D15" s="26">
        <v>2022</v>
      </c>
      <c r="E15" s="26" t="s">
        <v>56</v>
      </c>
      <c r="F15" s="26" t="s">
        <v>67</v>
      </c>
      <c r="G15" s="27">
        <v>35</v>
      </c>
      <c r="H15" s="26" t="s">
        <v>58</v>
      </c>
      <c r="I15" s="26" t="s">
        <v>59</v>
      </c>
    </row>
    <row r="16" spans="1:9" ht="15" customHeight="1" x14ac:dyDescent="0.25">
      <c r="A16" s="28">
        <v>1012</v>
      </c>
      <c r="B16" s="29" t="s">
        <v>81</v>
      </c>
      <c r="C16" s="29" t="s">
        <v>61</v>
      </c>
      <c r="D16" s="29">
        <v>2021</v>
      </c>
      <c r="E16" s="29" t="s">
        <v>62</v>
      </c>
      <c r="F16" s="29" t="s">
        <v>57</v>
      </c>
      <c r="G16" s="30">
        <v>55</v>
      </c>
      <c r="H16" s="29" t="s">
        <v>75</v>
      </c>
      <c r="I16" s="29" t="s">
        <v>63</v>
      </c>
    </row>
    <row r="17" spans="1:9" ht="15" customHeight="1" x14ac:dyDescent="0.25">
      <c r="A17" s="25">
        <v>1013</v>
      </c>
      <c r="B17" s="26" t="s">
        <v>82</v>
      </c>
      <c r="C17" s="26" t="s">
        <v>65</v>
      </c>
      <c r="D17" s="26">
        <v>2023</v>
      </c>
      <c r="E17" s="26" t="s">
        <v>66</v>
      </c>
      <c r="F17" s="26" t="s">
        <v>67</v>
      </c>
      <c r="G17" s="27">
        <v>20</v>
      </c>
      <c r="H17" s="26" t="s">
        <v>68</v>
      </c>
      <c r="I17" s="26" t="s">
        <v>69</v>
      </c>
    </row>
    <row r="18" spans="1:9" ht="15" customHeight="1" x14ac:dyDescent="0.25">
      <c r="A18" s="28">
        <v>1014</v>
      </c>
      <c r="B18" s="29" t="s">
        <v>83</v>
      </c>
      <c r="C18" s="29" t="s">
        <v>55</v>
      </c>
      <c r="D18" s="29">
        <v>2020</v>
      </c>
      <c r="E18" s="29" t="s">
        <v>56</v>
      </c>
      <c r="F18" s="29" t="s">
        <v>57</v>
      </c>
      <c r="G18" s="30">
        <v>35</v>
      </c>
      <c r="H18" s="29" t="s">
        <v>58</v>
      </c>
      <c r="I18" s="29" t="s">
        <v>59</v>
      </c>
    </row>
    <row r="19" spans="1:9" ht="15" customHeight="1" x14ac:dyDescent="0.25">
      <c r="A19" s="25">
        <v>1015</v>
      </c>
      <c r="B19" s="26" t="s">
        <v>84</v>
      </c>
      <c r="C19" s="26" t="s">
        <v>55</v>
      </c>
      <c r="D19" s="26">
        <v>2022</v>
      </c>
      <c r="E19" s="26" t="s">
        <v>56</v>
      </c>
      <c r="F19" s="26" t="s">
        <v>67</v>
      </c>
      <c r="G19" s="27">
        <v>350</v>
      </c>
      <c r="H19" s="26" t="s">
        <v>68</v>
      </c>
      <c r="I19" s="26" t="s">
        <v>85</v>
      </c>
    </row>
    <row r="20" spans="1:9" ht="15" customHeight="1" x14ac:dyDescent="0.25">
      <c r="A20" s="28">
        <v>1016</v>
      </c>
      <c r="B20" s="29" t="s">
        <v>86</v>
      </c>
      <c r="C20" s="29" t="s">
        <v>71</v>
      </c>
      <c r="D20" s="29">
        <v>2019</v>
      </c>
      <c r="E20" s="29" t="s">
        <v>66</v>
      </c>
      <c r="F20" s="29" t="s">
        <v>72</v>
      </c>
      <c r="G20" s="30">
        <v>28</v>
      </c>
      <c r="H20" s="29" t="s">
        <v>68</v>
      </c>
      <c r="I20" s="29" t="s">
        <v>69</v>
      </c>
    </row>
    <row r="21" spans="1:9" ht="15.75" customHeight="1" x14ac:dyDescent="0.25">
      <c r="A21" s="25">
        <v>1017</v>
      </c>
      <c r="B21" s="26" t="s">
        <v>87</v>
      </c>
      <c r="C21" s="26" t="s">
        <v>55</v>
      </c>
      <c r="D21" s="26">
        <v>2023</v>
      </c>
      <c r="E21" s="26" t="s">
        <v>56</v>
      </c>
      <c r="F21" s="26" t="s">
        <v>67</v>
      </c>
      <c r="G21" s="27">
        <v>35</v>
      </c>
      <c r="H21" s="26" t="s">
        <v>58</v>
      </c>
      <c r="I21" s="26" t="s">
        <v>59</v>
      </c>
    </row>
    <row r="22" spans="1:9" ht="15.75" customHeight="1" x14ac:dyDescent="0.25">
      <c r="A22" s="28">
        <v>1018</v>
      </c>
      <c r="B22" s="29" t="s">
        <v>88</v>
      </c>
      <c r="C22" s="29" t="s">
        <v>61</v>
      </c>
      <c r="D22" s="29">
        <v>2021</v>
      </c>
      <c r="E22" s="29" t="s">
        <v>62</v>
      </c>
      <c r="F22" s="29" t="s">
        <v>57</v>
      </c>
      <c r="G22" s="30">
        <v>55</v>
      </c>
      <c r="H22" s="29" t="s">
        <v>58</v>
      </c>
      <c r="I22" s="29" t="s">
        <v>63</v>
      </c>
    </row>
    <row r="23" spans="1:9" ht="15.75" customHeight="1" x14ac:dyDescent="0.25">
      <c r="A23" s="25">
        <v>1019</v>
      </c>
      <c r="B23" s="26" t="s">
        <v>89</v>
      </c>
      <c r="C23" s="26" t="s">
        <v>65</v>
      </c>
      <c r="D23" s="26">
        <v>2022</v>
      </c>
      <c r="E23" s="26" t="s">
        <v>66</v>
      </c>
      <c r="F23" s="26" t="s">
        <v>67</v>
      </c>
      <c r="G23" s="27">
        <v>20</v>
      </c>
      <c r="H23" s="26" t="s">
        <v>68</v>
      </c>
      <c r="I23" s="26" t="s">
        <v>69</v>
      </c>
    </row>
    <row r="24" spans="1:9" ht="15.75" customHeight="1" x14ac:dyDescent="0.25">
      <c r="A24" s="28">
        <v>1020</v>
      </c>
      <c r="B24" s="29" t="s">
        <v>90</v>
      </c>
      <c r="C24" s="29" t="s">
        <v>55</v>
      </c>
      <c r="D24" s="29">
        <v>2020</v>
      </c>
      <c r="E24" s="29" t="s">
        <v>56</v>
      </c>
      <c r="F24" s="29" t="s">
        <v>57</v>
      </c>
      <c r="G24" s="30">
        <v>35</v>
      </c>
      <c r="H24" s="29" t="s">
        <v>75</v>
      </c>
      <c r="I24" s="29" t="s">
        <v>59</v>
      </c>
    </row>
    <row r="25" spans="1:9" ht="15.75" customHeight="1" x14ac:dyDescent="0.25">
      <c r="A25" s="25">
        <v>1021</v>
      </c>
      <c r="B25" s="26" t="s">
        <v>91</v>
      </c>
      <c r="C25" s="26" t="s">
        <v>55</v>
      </c>
      <c r="D25" s="26">
        <v>2023</v>
      </c>
      <c r="E25" s="26" t="s">
        <v>56</v>
      </c>
      <c r="F25" s="26" t="s">
        <v>67</v>
      </c>
      <c r="G25" s="26"/>
      <c r="H25" s="26"/>
      <c r="I25" s="26"/>
    </row>
    <row r="26" spans="1:9" ht="15.75" customHeight="1" x14ac:dyDescent="0.25">
      <c r="A26" s="28">
        <v>1022</v>
      </c>
      <c r="B26" s="29" t="s">
        <v>92</v>
      </c>
      <c r="C26" s="29" t="s">
        <v>71</v>
      </c>
      <c r="D26" s="29">
        <v>2021</v>
      </c>
      <c r="E26" s="29" t="s">
        <v>66</v>
      </c>
      <c r="F26" s="29" t="s">
        <v>57</v>
      </c>
      <c r="G26" s="29"/>
      <c r="H26" s="29"/>
      <c r="I26" s="29"/>
    </row>
    <row r="27" spans="1:9" ht="15.75" customHeight="1" x14ac:dyDescent="0.25">
      <c r="A27" s="25">
        <v>1023</v>
      </c>
      <c r="B27" s="26" t="s">
        <v>93</v>
      </c>
      <c r="C27" s="26" t="s">
        <v>55</v>
      </c>
      <c r="D27" s="26">
        <v>2022</v>
      </c>
      <c r="E27" s="26" t="s">
        <v>56</v>
      </c>
      <c r="F27" s="26" t="s">
        <v>67</v>
      </c>
      <c r="G27" s="26"/>
      <c r="H27" s="26"/>
      <c r="I27" s="26"/>
    </row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7" xr:uid="{00000000-0009-0000-0000-000002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J1000"/>
  <sheetViews>
    <sheetView showGridLines="0" zoomScaleNormal="100" workbookViewId="0">
      <selection activeCell="F7" sqref="F7"/>
    </sheetView>
  </sheetViews>
  <sheetFormatPr defaultColWidth="14.42578125" defaultRowHeight="15" x14ac:dyDescent="0.25"/>
  <cols>
    <col min="1" max="1" width="3" customWidth="1"/>
    <col min="2" max="2" width="32" customWidth="1"/>
    <col min="3" max="3" width="14" customWidth="1"/>
    <col min="4" max="4" width="30" customWidth="1"/>
    <col min="5" max="5" width="12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94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95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33.75" customHeight="1" x14ac:dyDescent="0.25">
      <c r="A4" s="11" t="s">
        <v>96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18" customHeight="1" x14ac:dyDescent="0.25">
      <c r="B6" s="4" t="s">
        <v>28</v>
      </c>
      <c r="C6" s="4"/>
      <c r="D6" s="3" t="s">
        <v>29</v>
      </c>
      <c r="E6" s="3"/>
      <c r="F6" s="20" t="s">
        <v>30</v>
      </c>
      <c r="G6" s="20" t="s">
        <v>31</v>
      </c>
      <c r="J6" s="21" t="s">
        <v>32</v>
      </c>
    </row>
    <row r="7" spans="1:10" ht="30" customHeight="1" x14ac:dyDescent="0.25">
      <c r="B7" s="5" t="s">
        <v>97</v>
      </c>
      <c r="C7" s="5"/>
      <c r="D7" s="2" t="s">
        <v>98</v>
      </c>
      <c r="E7" s="2"/>
      <c r="F7" s="36"/>
      <c r="G7" s="22" t="str">
        <f>IF(F7="","",IFERROR(IF(ABS(F7-7)&lt;0.01,"✓  Correct","✗  Try again"),"✗  Try again"))</f>
        <v/>
      </c>
      <c r="J7" s="1" t="s">
        <v>99</v>
      </c>
    </row>
    <row r="8" spans="1:10" ht="30" customHeight="1" x14ac:dyDescent="0.25">
      <c r="B8" s="5" t="s">
        <v>100</v>
      </c>
      <c r="C8" s="5"/>
      <c r="D8" s="2" t="s">
        <v>101</v>
      </c>
      <c r="E8" s="2"/>
      <c r="F8" s="36"/>
      <c r="G8" s="22" t="str">
        <f>IF(F8="","",IFERROR(IF(ABS(F8-1)&lt;0.01,"✓  Correct","✗  Try again"),"✗  Try again"))</f>
        <v/>
      </c>
      <c r="J8" s="1"/>
    </row>
    <row r="9" spans="1:10" ht="15" customHeight="1" x14ac:dyDescent="0.25"/>
    <row r="10" spans="1:10" ht="33.75" customHeight="1" x14ac:dyDescent="0.25">
      <c r="A10" s="34" t="s">
        <v>102</v>
      </c>
      <c r="B10" s="34"/>
      <c r="C10" s="34"/>
      <c r="D10" s="34"/>
      <c r="E10" s="34"/>
      <c r="F10" s="34"/>
      <c r="G10" s="34"/>
      <c r="H10" s="3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1">
    <mergeCell ref="A10:H10"/>
    <mergeCell ref="B7:C7"/>
    <mergeCell ref="D7:E7"/>
    <mergeCell ref="J7:J8"/>
    <mergeCell ref="B8:C8"/>
    <mergeCell ref="D8:E8"/>
    <mergeCell ref="A1:H1"/>
    <mergeCell ref="A2:H2"/>
    <mergeCell ref="A4:H4"/>
    <mergeCell ref="B6:C6"/>
    <mergeCell ref="D6:E6"/>
  </mergeCells>
  <conditionalFormatting sqref="G7:G8">
    <cfRule type="expression" dxfId="7" priority="2">
      <formula>ISNUMBER(SEARCH("Correct",G7))</formula>
    </cfRule>
    <cfRule type="expression" dxfId="6" priority="3">
      <formula>ISNUMBER(SEARCH("Try",G7))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J1000"/>
  <sheetViews>
    <sheetView showGridLines="0" zoomScaleNormal="100" workbookViewId="0">
      <selection activeCell="F7" sqref="F7:F8"/>
    </sheetView>
  </sheetViews>
  <sheetFormatPr defaultColWidth="14.42578125" defaultRowHeight="15" x14ac:dyDescent="0.25"/>
  <cols>
    <col min="1" max="1" width="3" customWidth="1"/>
    <col min="2" max="2" width="32" customWidth="1"/>
    <col min="3" max="3" width="14" customWidth="1"/>
    <col min="4" max="4" width="32" customWidth="1"/>
    <col min="5" max="5" width="32.28515625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103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104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39.75" customHeight="1" x14ac:dyDescent="0.25">
      <c r="A4" s="11" t="s">
        <v>105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18" customHeight="1" x14ac:dyDescent="0.25">
      <c r="B6" s="4" t="s">
        <v>28</v>
      </c>
      <c r="C6" s="4"/>
      <c r="D6" s="3" t="s">
        <v>29</v>
      </c>
      <c r="E6" s="3"/>
      <c r="F6" s="20" t="s">
        <v>30</v>
      </c>
      <c r="G6" s="20" t="s">
        <v>31</v>
      </c>
      <c r="J6" s="21" t="s">
        <v>32</v>
      </c>
    </row>
    <row r="7" spans="1:10" ht="30" customHeight="1" x14ac:dyDescent="0.25">
      <c r="B7" s="5" t="s">
        <v>106</v>
      </c>
      <c r="C7" s="5"/>
      <c r="D7" s="2" t="s">
        <v>107</v>
      </c>
      <c r="E7" s="2"/>
      <c r="F7" s="36"/>
      <c r="G7" s="22" t="str">
        <f>IF(F7="","",IFERROR(IF(ABS(F7-165)&lt;0.01,"✓  Correct","✗  Try again"),"✗  Try again"))</f>
        <v/>
      </c>
      <c r="J7" s="1" t="s">
        <v>108</v>
      </c>
    </row>
    <row r="8" spans="1:10" ht="30" customHeight="1" x14ac:dyDescent="0.25">
      <c r="B8" s="5" t="s">
        <v>109</v>
      </c>
      <c r="C8" s="5"/>
      <c r="D8" s="2" t="s">
        <v>110</v>
      </c>
      <c r="E8" s="2"/>
      <c r="F8" s="36"/>
      <c r="G8" s="22" t="str">
        <f>IF(F8="","",IFERROR(IF(ABS(F8-35)&lt;0.01,"✓  Correct","✗  Try again"),"✗  Try again"))</f>
        <v/>
      </c>
      <c r="J8" s="1"/>
    </row>
    <row r="9" spans="1:10" ht="15" customHeight="1" x14ac:dyDescent="0.25"/>
    <row r="10" spans="1:10" ht="30" customHeight="1" x14ac:dyDescent="0.25">
      <c r="A10" s="34" t="s">
        <v>111</v>
      </c>
      <c r="B10" s="34"/>
      <c r="C10" s="34"/>
      <c r="D10" s="34"/>
      <c r="E10" s="34"/>
      <c r="F10" s="34"/>
      <c r="G10" s="34"/>
      <c r="H10" s="3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1">
    <mergeCell ref="A10:H10"/>
    <mergeCell ref="B7:C7"/>
    <mergeCell ref="D7:E7"/>
    <mergeCell ref="J7:J8"/>
    <mergeCell ref="B8:C8"/>
    <mergeCell ref="D8:E8"/>
    <mergeCell ref="A1:H1"/>
    <mergeCell ref="A2:H2"/>
    <mergeCell ref="A4:H4"/>
    <mergeCell ref="B6:C6"/>
    <mergeCell ref="D6:E6"/>
  </mergeCells>
  <conditionalFormatting sqref="G7:G8">
    <cfRule type="expression" dxfId="5" priority="2">
      <formula>ISNUMBER(SEARCH("Correct",G7))</formula>
    </cfRule>
    <cfRule type="expression" dxfId="4" priority="3">
      <formula>ISNUMBER(SEARCH("Try",G7))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J1000"/>
  <sheetViews>
    <sheetView showGridLines="0" zoomScaleNormal="100" workbookViewId="0">
      <selection activeCell="F7" sqref="F7:F8"/>
    </sheetView>
  </sheetViews>
  <sheetFormatPr defaultColWidth="14.42578125" defaultRowHeight="15" x14ac:dyDescent="0.25"/>
  <cols>
    <col min="1" max="1" width="3" customWidth="1"/>
    <col min="2" max="2" width="32" customWidth="1"/>
    <col min="3" max="3" width="14" customWidth="1"/>
    <col min="4" max="4" width="32" customWidth="1"/>
    <col min="5" max="5" width="12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112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113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33.75" customHeight="1" x14ac:dyDescent="0.25">
      <c r="A4" s="11" t="s">
        <v>114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18" customHeight="1" x14ac:dyDescent="0.25">
      <c r="B6" s="4" t="s">
        <v>28</v>
      </c>
      <c r="C6" s="4"/>
      <c r="D6" s="3" t="s">
        <v>29</v>
      </c>
      <c r="E6" s="3"/>
      <c r="F6" s="20" t="s">
        <v>30</v>
      </c>
      <c r="G6" s="20" t="s">
        <v>31</v>
      </c>
      <c r="J6" s="21" t="s">
        <v>32</v>
      </c>
    </row>
    <row r="7" spans="1:10" ht="30" customHeight="1" x14ac:dyDescent="0.25">
      <c r="B7" s="5" t="s">
        <v>115</v>
      </c>
      <c r="C7" s="5"/>
      <c r="D7" s="2" t="s">
        <v>116</v>
      </c>
      <c r="E7" s="2"/>
      <c r="F7" s="36"/>
      <c r="G7" s="22" t="str">
        <f>IF(F7="","",IF(ISNUMBER(SEARCH("Escalate",F7)),"✓  Correct","✗  Try again"))</f>
        <v/>
      </c>
      <c r="J7" s="1" t="s">
        <v>117</v>
      </c>
    </row>
    <row r="8" spans="1:10" ht="30" customHeight="1" x14ac:dyDescent="0.25">
      <c r="B8" s="5" t="s">
        <v>118</v>
      </c>
      <c r="C8" s="5"/>
      <c r="D8" s="2" t="s">
        <v>119</v>
      </c>
      <c r="E8" s="2"/>
      <c r="F8" s="36"/>
      <c r="G8" s="22" t="str">
        <f>IF(F8="","",IF(ISNUMBER(SEARCH("Concession",F8)),"✓  Correct","✗  Try again"))</f>
        <v/>
      </c>
      <c r="J8" s="1"/>
    </row>
    <row r="9" spans="1:10" ht="15" customHeight="1" x14ac:dyDescent="0.25"/>
    <row r="10" spans="1:10" ht="33.75" customHeight="1" x14ac:dyDescent="0.25">
      <c r="A10" s="34" t="s">
        <v>120</v>
      </c>
      <c r="B10" s="34"/>
      <c r="C10" s="34"/>
      <c r="D10" s="34"/>
      <c r="E10" s="34"/>
      <c r="F10" s="34"/>
      <c r="G10" s="34"/>
      <c r="H10" s="3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1">
    <mergeCell ref="A10:H10"/>
    <mergeCell ref="B7:C7"/>
    <mergeCell ref="D7:E7"/>
    <mergeCell ref="J7:J8"/>
    <mergeCell ref="B8:C8"/>
    <mergeCell ref="D8:E8"/>
    <mergeCell ref="A1:H1"/>
    <mergeCell ref="A2:H2"/>
    <mergeCell ref="A4:H4"/>
    <mergeCell ref="B6:C6"/>
    <mergeCell ref="D6:E6"/>
  </mergeCells>
  <conditionalFormatting sqref="G7:G8">
    <cfRule type="expression" dxfId="3" priority="2">
      <formula>ISNUMBER(SEARCH("Correct",G7))</formula>
    </cfRule>
    <cfRule type="expression" dxfId="2" priority="3">
      <formula>ISNUMBER(SEARCH("Try",G7))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C1000"/>
  <sheetViews>
    <sheetView showGridLines="0" zoomScaleNormal="100" workbookViewId="0">
      <selection sqref="A1:C1"/>
    </sheetView>
  </sheetViews>
  <sheetFormatPr defaultColWidth="14.42578125" defaultRowHeight="15" x14ac:dyDescent="0.25"/>
  <cols>
    <col min="1" max="1" width="3" customWidth="1"/>
    <col min="2" max="2" width="26" customWidth="1"/>
    <col min="3" max="3" width="70" customWidth="1"/>
    <col min="4" max="8" width="8.7109375" customWidth="1"/>
  </cols>
  <sheetData>
    <row r="1" spans="1:3" ht="30" customHeight="1" x14ac:dyDescent="0.25">
      <c r="A1" s="13" t="s">
        <v>121</v>
      </c>
      <c r="B1" s="13"/>
      <c r="C1" s="13"/>
    </row>
    <row r="2" spans="1:3" ht="21.75" customHeight="1" x14ac:dyDescent="0.25">
      <c r="A2" s="12" t="s">
        <v>122</v>
      </c>
      <c r="B2" s="12"/>
      <c r="C2" s="12"/>
    </row>
    <row r="3" spans="1:3" ht="15" customHeight="1" x14ac:dyDescent="0.25"/>
    <row r="4" spans="1:3" ht="39.75" customHeight="1" x14ac:dyDescent="0.25">
      <c r="B4" s="31" t="s">
        <v>123</v>
      </c>
      <c r="C4" s="32" t="s">
        <v>124</v>
      </c>
    </row>
    <row r="5" spans="1:3" ht="39.75" customHeight="1" x14ac:dyDescent="0.25">
      <c r="B5" s="31" t="s">
        <v>125</v>
      </c>
      <c r="C5" s="32" t="s">
        <v>126</v>
      </c>
    </row>
    <row r="6" spans="1:3" ht="39.75" customHeight="1" x14ac:dyDescent="0.25">
      <c r="B6" s="31" t="s">
        <v>127</v>
      </c>
      <c r="C6" s="32" t="s">
        <v>128</v>
      </c>
    </row>
    <row r="7" spans="1:3" ht="39.75" customHeight="1" x14ac:dyDescent="0.25">
      <c r="B7" s="31" t="s">
        <v>129</v>
      </c>
      <c r="C7" s="32" t="s">
        <v>130</v>
      </c>
    </row>
    <row r="8" spans="1:3" ht="39.75" customHeight="1" x14ac:dyDescent="0.25">
      <c r="B8" s="31" t="s">
        <v>131</v>
      </c>
      <c r="C8" s="32" t="s">
        <v>132</v>
      </c>
    </row>
    <row r="9" spans="1:3" ht="39.75" customHeight="1" x14ac:dyDescent="0.25">
      <c r="B9" s="31" t="s">
        <v>133</v>
      </c>
      <c r="C9" s="32" t="s">
        <v>134</v>
      </c>
    </row>
    <row r="10" spans="1:3" ht="39.75" customHeight="1" x14ac:dyDescent="0.25">
      <c r="B10" s="31" t="s">
        <v>135</v>
      </c>
      <c r="C10" s="32" t="s">
        <v>136</v>
      </c>
    </row>
    <row r="11" spans="1:3" ht="39.75" customHeight="1" x14ac:dyDescent="0.25">
      <c r="B11" s="31" t="s">
        <v>137</v>
      </c>
      <c r="C11" s="32" t="s">
        <v>138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J1000"/>
  <sheetViews>
    <sheetView showGridLines="0" zoomScaleNormal="100" workbookViewId="0">
      <selection activeCell="F7" sqref="F7"/>
    </sheetView>
  </sheetViews>
  <sheetFormatPr defaultColWidth="14.42578125" defaultRowHeight="15" x14ac:dyDescent="0.25"/>
  <cols>
    <col min="1" max="1" width="3" customWidth="1"/>
    <col min="2" max="2" width="32" customWidth="1"/>
    <col min="3" max="3" width="14" customWidth="1"/>
    <col min="4" max="4" width="32" customWidth="1"/>
    <col min="5" max="5" width="12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139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140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15" customHeight="1" x14ac:dyDescent="0.25"/>
    <row r="5" spans="1:10" ht="15" customHeight="1" x14ac:dyDescent="0.25"/>
    <row r="6" spans="1:10" ht="18" customHeight="1" x14ac:dyDescent="0.25">
      <c r="B6" s="4" t="s">
        <v>28</v>
      </c>
      <c r="C6" s="4"/>
      <c r="D6" s="3" t="s">
        <v>29</v>
      </c>
      <c r="E6" s="3"/>
      <c r="F6" s="20" t="s">
        <v>30</v>
      </c>
      <c r="G6" s="20" t="s">
        <v>31</v>
      </c>
      <c r="J6" s="21" t="s">
        <v>32</v>
      </c>
    </row>
    <row r="7" spans="1:10" ht="42.75" customHeight="1" x14ac:dyDescent="0.25">
      <c r="B7" s="5" t="s">
        <v>141</v>
      </c>
      <c r="C7" s="5"/>
      <c r="D7" s="2" t="s">
        <v>142</v>
      </c>
      <c r="E7" s="2"/>
      <c r="F7" s="36"/>
      <c r="G7" s="22" t="str">
        <f>IF(F7="","",IFERROR(IF(ABS(F7-4)&lt;0.01,"✓  Correct","✗  Try again"),"✗  Try again"))</f>
        <v/>
      </c>
      <c r="J7" s="23" t="s">
        <v>143</v>
      </c>
    </row>
    <row r="8" spans="1:10" ht="15" customHeight="1" x14ac:dyDescent="0.25"/>
    <row r="9" spans="1:10" ht="24" customHeight="1" x14ac:dyDescent="0.25">
      <c r="A9" s="10" t="s">
        <v>144</v>
      </c>
      <c r="B9" s="10"/>
      <c r="C9" s="10"/>
      <c r="D9" s="10"/>
      <c r="E9" s="10"/>
      <c r="F9" s="10"/>
      <c r="G9" s="10"/>
      <c r="H9" s="10"/>
    </row>
    <row r="10" spans="1:10" ht="42" customHeight="1" x14ac:dyDescent="0.25">
      <c r="B10" s="5" t="s">
        <v>145</v>
      </c>
      <c r="C10" s="5"/>
      <c r="D10" s="5"/>
      <c r="E10" s="37"/>
      <c r="F10" s="37"/>
      <c r="G10" s="37"/>
      <c r="H10" s="37"/>
    </row>
    <row r="11" spans="1:10" ht="42" customHeight="1" x14ac:dyDescent="0.25">
      <c r="B11" s="5" t="s">
        <v>146</v>
      </c>
      <c r="C11" s="5"/>
      <c r="D11" s="5"/>
      <c r="E11" s="37"/>
      <c r="F11" s="37"/>
      <c r="G11" s="37"/>
      <c r="H11" s="37"/>
    </row>
    <row r="12" spans="1:10" ht="42" customHeight="1" x14ac:dyDescent="0.25">
      <c r="B12" s="5" t="s">
        <v>147</v>
      </c>
      <c r="C12" s="5"/>
      <c r="D12" s="5"/>
      <c r="E12" s="37"/>
      <c r="F12" s="37"/>
      <c r="G12" s="37"/>
      <c r="H12" s="3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3">
    <mergeCell ref="B12:D12"/>
    <mergeCell ref="E12:H12"/>
    <mergeCell ref="A9:H9"/>
    <mergeCell ref="B10:D10"/>
    <mergeCell ref="E10:H10"/>
    <mergeCell ref="B11:D11"/>
    <mergeCell ref="E11:H11"/>
    <mergeCell ref="A1:H1"/>
    <mergeCell ref="A2:H2"/>
    <mergeCell ref="B6:C6"/>
    <mergeCell ref="D6:E6"/>
    <mergeCell ref="B7:C7"/>
    <mergeCell ref="D7:E7"/>
  </mergeCells>
  <conditionalFormatting sqref="G7">
    <cfRule type="expression" dxfId="1" priority="2">
      <formula>ISNUMBER(SEARCH("Correct",G7))</formula>
    </cfRule>
    <cfRule type="expression" dxfId="0" priority="3">
      <formula>ISNUMBER(SEARCH("Try",G7))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</sheetPr>
  <dimension ref="A1:V1000"/>
  <sheetViews>
    <sheetView showGridLines="0" tabSelected="1" zoomScaleNormal="100" workbookViewId="0">
      <selection activeCell="E15" activeCellId="1" sqref="C6:C10 E15:E18"/>
    </sheetView>
  </sheetViews>
  <sheetFormatPr defaultColWidth="14.42578125" defaultRowHeight="15" x14ac:dyDescent="0.25"/>
  <cols>
    <col min="1" max="1" width="3" customWidth="1"/>
    <col min="2" max="2" width="50" customWidth="1"/>
    <col min="3" max="5" width="16" customWidth="1"/>
    <col min="6" max="6" width="31.7109375" customWidth="1"/>
    <col min="7" max="8" width="8.7109375" customWidth="1"/>
    <col min="10" max="22" width="3.42578125" customWidth="1"/>
  </cols>
  <sheetData>
    <row r="1" spans="1:22" ht="30" customHeight="1" x14ac:dyDescent="0.25">
      <c r="A1" s="13" t="s">
        <v>148</v>
      </c>
      <c r="B1" s="13"/>
      <c r="C1" s="13"/>
      <c r="D1" s="13"/>
      <c r="E1" s="13"/>
      <c r="F1" s="13"/>
      <c r="J1" s="14" t="s">
        <v>1</v>
      </c>
    </row>
    <row r="2" spans="1:22" ht="21.75" customHeight="1" x14ac:dyDescent="0.25">
      <c r="A2" s="12" t="s">
        <v>149</v>
      </c>
      <c r="B2" s="12"/>
      <c r="C2" s="12"/>
      <c r="D2" s="12"/>
      <c r="E2" s="12"/>
      <c r="F2" s="12"/>
      <c r="J2" s="15">
        <v>1</v>
      </c>
      <c r="K2" s="15">
        <v>2</v>
      </c>
      <c r="L2" s="15">
        <v>3</v>
      </c>
      <c r="M2" s="15">
        <v>4</v>
      </c>
      <c r="N2" s="15">
        <v>5</v>
      </c>
      <c r="O2" s="15">
        <v>6</v>
      </c>
      <c r="P2" s="15">
        <v>7</v>
      </c>
      <c r="Q2" s="15">
        <v>8</v>
      </c>
      <c r="R2" s="16">
        <v>9</v>
      </c>
      <c r="S2" s="15">
        <v>10</v>
      </c>
      <c r="T2" s="15">
        <v>11</v>
      </c>
      <c r="U2" s="15">
        <v>12</v>
      </c>
      <c r="V2" s="15">
        <v>13</v>
      </c>
    </row>
    <row r="3" spans="1:22" ht="15" customHeight="1" x14ac:dyDescent="0.25"/>
    <row r="4" spans="1:22" ht="24" customHeight="1" x14ac:dyDescent="0.25">
      <c r="A4" s="10" t="s">
        <v>150</v>
      </c>
      <c r="B4" s="10"/>
      <c r="C4" s="10"/>
      <c r="D4" s="10"/>
      <c r="E4" s="10"/>
      <c r="F4" s="10"/>
      <c r="G4" s="10"/>
      <c r="H4" s="10"/>
    </row>
    <row r="5" spans="1:22" ht="18" customHeight="1" x14ac:dyDescent="0.25">
      <c r="A5" s="11" t="s">
        <v>151</v>
      </c>
      <c r="B5" s="11"/>
      <c r="C5" s="11"/>
      <c r="D5" s="11"/>
      <c r="E5" s="11"/>
      <c r="F5" s="11"/>
      <c r="G5" s="11"/>
      <c r="H5" s="11"/>
    </row>
    <row r="6" spans="1:22" ht="24" customHeight="1" x14ac:dyDescent="0.25">
      <c r="C6" s="36"/>
      <c r="D6" s="5" t="s">
        <v>17</v>
      </c>
      <c r="E6" s="5"/>
      <c r="F6" s="5"/>
    </row>
    <row r="7" spans="1:22" ht="24" customHeight="1" x14ac:dyDescent="0.25">
      <c r="C7" s="36"/>
      <c r="D7" s="5" t="s">
        <v>152</v>
      </c>
      <c r="E7" s="5"/>
      <c r="F7" s="5"/>
    </row>
    <row r="8" spans="1:22" ht="24" customHeight="1" x14ac:dyDescent="0.25">
      <c r="C8" s="36"/>
      <c r="D8" s="5" t="s">
        <v>153</v>
      </c>
      <c r="E8" s="5"/>
      <c r="F8" s="5"/>
    </row>
    <row r="9" spans="1:22" ht="24" customHeight="1" x14ac:dyDescent="0.25">
      <c r="C9" s="36"/>
      <c r="D9" s="5" t="s">
        <v>154</v>
      </c>
      <c r="E9" s="5"/>
      <c r="F9" s="5"/>
    </row>
    <row r="10" spans="1:22" ht="24" customHeight="1" x14ac:dyDescent="0.25">
      <c r="C10" s="36"/>
      <c r="D10" s="5" t="s">
        <v>155</v>
      </c>
      <c r="E10" s="5"/>
      <c r="F10" s="5"/>
    </row>
    <row r="11" spans="1:22" ht="15" customHeight="1" x14ac:dyDescent="0.25"/>
    <row r="12" spans="1:22" ht="24" customHeight="1" x14ac:dyDescent="0.25">
      <c r="A12" s="10" t="s">
        <v>156</v>
      </c>
      <c r="B12" s="10"/>
      <c r="C12" s="10"/>
      <c r="D12" s="10"/>
      <c r="E12" s="10"/>
      <c r="F12" s="10"/>
      <c r="G12" s="10"/>
      <c r="H12" s="10"/>
    </row>
    <row r="13" spans="1:22" ht="18" customHeight="1" x14ac:dyDescent="0.25">
      <c r="A13" s="11" t="s">
        <v>157</v>
      </c>
      <c r="B13" s="11"/>
      <c r="C13" s="11"/>
      <c r="D13" s="11"/>
      <c r="E13" s="11"/>
      <c r="F13" s="11"/>
      <c r="G13" s="11"/>
      <c r="H13" s="11"/>
    </row>
    <row r="14" spans="1:22" ht="18" customHeight="1" x14ac:dyDescent="0.25">
      <c r="B14" s="6" t="s">
        <v>15</v>
      </c>
      <c r="C14" s="6"/>
      <c r="D14" s="6"/>
      <c r="E14" s="17" t="s">
        <v>158</v>
      </c>
    </row>
    <row r="15" spans="1:22" ht="21.75" customHeight="1" x14ac:dyDescent="0.25">
      <c r="B15" s="5" t="s">
        <v>17</v>
      </c>
      <c r="C15" s="5"/>
      <c r="D15" s="5"/>
      <c r="E15" s="36"/>
    </row>
    <row r="16" spans="1:22" ht="21.75" customHeight="1" x14ac:dyDescent="0.25">
      <c r="B16" s="5" t="s">
        <v>18</v>
      </c>
      <c r="C16" s="5"/>
      <c r="D16" s="5"/>
      <c r="E16" s="36"/>
    </row>
    <row r="17" spans="2:6" ht="21.75" customHeight="1" x14ac:dyDescent="0.25">
      <c r="B17" s="5" t="s">
        <v>19</v>
      </c>
      <c r="C17" s="5"/>
      <c r="D17" s="5"/>
      <c r="E17" s="36"/>
    </row>
    <row r="18" spans="2:6" ht="21.75" customHeight="1" x14ac:dyDescent="0.25">
      <c r="B18" s="5" t="s">
        <v>20</v>
      </c>
      <c r="C18" s="5"/>
      <c r="D18" s="5"/>
      <c r="E18" s="36"/>
    </row>
    <row r="19" spans="2:6" ht="15" customHeight="1" x14ac:dyDescent="0.25"/>
    <row r="20" spans="2:6" ht="15" customHeight="1" x14ac:dyDescent="0.25">
      <c r="B20" s="7" t="s">
        <v>159</v>
      </c>
      <c r="C20" s="7"/>
      <c r="D20" s="7"/>
      <c r="E20" s="7"/>
      <c r="F20" s="7"/>
    </row>
    <row r="21" spans="2:6" ht="15.75" customHeight="1" x14ac:dyDescent="0.25">
      <c r="B21" s="7"/>
      <c r="C21" s="7"/>
      <c r="D21" s="7"/>
      <c r="E21" s="7"/>
      <c r="F21" s="7"/>
    </row>
    <row r="22" spans="2:6" ht="15.75" customHeight="1" x14ac:dyDescent="0.25">
      <c r="B22" s="7"/>
      <c r="C22" s="7"/>
      <c r="D22" s="7"/>
      <c r="E22" s="7"/>
      <c r="F22" s="7"/>
    </row>
    <row r="23" spans="2:6" ht="15.75" customHeight="1" x14ac:dyDescent="0.25"/>
    <row r="24" spans="2:6" ht="15.75" customHeight="1" x14ac:dyDescent="0.25"/>
    <row r="25" spans="2:6" ht="15.75" customHeight="1" x14ac:dyDescent="0.25"/>
    <row r="26" spans="2:6" ht="15.75" customHeight="1" x14ac:dyDescent="0.25"/>
    <row r="27" spans="2:6" ht="15.75" customHeight="1" x14ac:dyDescent="0.25"/>
    <row r="28" spans="2:6" ht="15.75" customHeight="1" x14ac:dyDescent="0.25"/>
    <row r="29" spans="2:6" ht="15.75" customHeight="1" x14ac:dyDescent="0.25"/>
    <row r="30" spans="2:6" ht="15.75" customHeight="1" x14ac:dyDescent="0.25"/>
    <row r="31" spans="2:6" ht="15.75" customHeight="1" x14ac:dyDescent="0.25"/>
    <row r="32" spans="2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7">
    <mergeCell ref="B18:D18"/>
    <mergeCell ref="B20:F22"/>
    <mergeCell ref="A13:H13"/>
    <mergeCell ref="B14:D14"/>
    <mergeCell ref="B15:D15"/>
    <mergeCell ref="B16:D16"/>
    <mergeCell ref="B17:D17"/>
    <mergeCell ref="D7:F7"/>
    <mergeCell ref="D8:F8"/>
    <mergeCell ref="D9:F9"/>
    <mergeCell ref="D10:F10"/>
    <mergeCell ref="A12:H12"/>
    <mergeCell ref="A1:F1"/>
    <mergeCell ref="A2:F2"/>
    <mergeCell ref="A4:H4"/>
    <mergeCell ref="A5:H5"/>
    <mergeCell ref="D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Warm-up</vt:lpstr>
      <vt:lpstr>Club Data</vt:lpstr>
      <vt:lpstr>Task 1 - COUNTIFS</vt:lpstr>
      <vt:lpstr>Task 2 - SUMIFS &amp; AVERAGEIFS</vt:lpstr>
      <vt:lpstr>Task 3 - IF with AND-OR</vt:lpstr>
      <vt:lpstr>Support</vt:lpstr>
      <vt:lpstr>Stretch</vt:lpstr>
      <vt:lpstr>Confidence &amp; Next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Chittenden</cp:lastModifiedBy>
  <cp:revision>0</cp:revision>
  <dcterms:created xsi:type="dcterms:W3CDTF">2026-06-10T13:07:30Z</dcterms:created>
  <dcterms:modified xsi:type="dcterms:W3CDTF">2026-06-22T21:28:09Z</dcterms:modified>
  <dc:language>en-US</dc:language>
</cp:coreProperties>
</file>