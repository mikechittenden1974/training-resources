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training-resources\"/>
    </mc:Choice>
  </mc:AlternateContent>
  <xr:revisionPtr revIDLastSave="0" documentId="8_{5F532874-E801-4DB6-9F81-4BFF3801C6FC}" xr6:coauthVersionLast="47" xr6:coauthVersionMax="47" xr10:uidLastSave="{00000000-0000-0000-0000-000000000000}"/>
  <bookViews>
    <workbookView xWindow="28680" yWindow="-120" windowWidth="29040" windowHeight="17520" tabRatio="884" firstSheet="2" activeTab="11" xr2:uid="{00000000-000D-0000-FFFF-FFFF00000000}"/>
  </bookViews>
  <sheets>
    <sheet name="Start Here" sheetId="1" r:id="rId1"/>
    <sheet name="Anatomy of a Pivot" sheetId="2" r:id="rId2"/>
    <sheet name="Club Data" sheetId="3" r:id="rId3"/>
    <sheet name="Bookings_All" sheetId="4" r:id="rId4"/>
    <sheet name="Task 1 - First Pivot" sheetId="5" r:id="rId5"/>
    <sheet name="Task 2 - Change Aggregation" sheetId="6" r:id="rId6"/>
    <sheet name="Task 3 - Rows &amp; Columns" sheetId="7" r:id="rId7"/>
    <sheet name="Task 4 - Filters &amp; Slicers" sheetId="8" r:id="rId8"/>
    <sheet name="Task 5 - PivotChart" sheetId="9" r:id="rId9"/>
    <sheet name="Support" sheetId="10" r:id="rId10"/>
    <sheet name="Stretch" sheetId="11" r:id="rId11"/>
    <sheet name="Confidence &amp; Next Steps" sheetId="12" r:id="rId12"/>
  </sheets>
  <definedNames>
    <definedName name="_xlnm._FilterDatabase" localSheetId="3" hidden="1">Bookings_All!$A$4:$E$32</definedName>
    <definedName name="_xlnm._FilterDatabase" localSheetId="2" hidden="1">'Club Data'!$A$4:$I$27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7" i="11" l="1"/>
  <c r="G16" i="9"/>
  <c r="G15" i="9"/>
  <c r="G16" i="8"/>
  <c r="G15" i="8"/>
  <c r="G17" i="7"/>
  <c r="G16" i="7"/>
  <c r="G17" i="6"/>
  <c r="G16" i="6"/>
  <c r="G16" i="5"/>
  <c r="G15" i="5"/>
</calcChain>
</file>

<file path=xl/sharedStrings.xml><?xml version="1.0" encoding="utf-8"?>
<sst xmlns="http://schemas.openxmlformats.org/spreadsheetml/2006/main" count="349" uniqueCount="198">
  <si>
    <t>Module 11  -  PivotTables</t>
  </si>
  <si>
    <t>YOUR JOURNEY</t>
  </si>
  <si>
    <t>Summarise data in a few clicks - and change it on the fly  -  Self-paced</t>
  </si>
  <si>
    <t>In Modules 7-9 you wrote formulas to count and total by category. A PivotTable does all of that by DRAGGING fields - and you can change the summary, add a second dimension, filter, and chart it in seconds. You'll build pivots on the same blended Club Data, plus the combined bookings.</t>
  </si>
  <si>
    <t>What a PivotTable is</t>
  </si>
  <si>
    <t>It's an interactive summary table. You drag a field into ROWS to group by it, drop a field into VALUES to summarise it, and Excel does the counting/totalling. Change your mind? Drag the fields somewhere else - the summary updates instantly.</t>
  </si>
  <si>
    <t>What you'll do</t>
  </si>
  <si>
    <t>•  Build a first pivot (members by type).  -  Change the aggregation (count / sum / average).</t>
  </si>
  <si>
    <t>•  Add a second dimension with Columns (a cross-tab).  -  Filter with the Filters area and Slicers.</t>
  </si>
  <si>
    <t>•  Turn a pivot into a PivotChart.</t>
  </si>
  <si>
    <t>Before you start</t>
  </si>
  <si>
    <t>Pivots feel like magic but you can't break anything - drag a field out and it's gone, drag it back and it returns. The underlying data never changes. Experiment freely. Breathe (in 4, hold 4, out 6) and start with the anatomy tab so the field areas make sense.</t>
  </si>
  <si>
    <t>Your confidence baseline  (1 = not yet, 5 = confident)</t>
  </si>
  <si>
    <t>Statement</t>
  </si>
  <si>
    <t>Rating (1-5)</t>
  </si>
  <si>
    <t>I know what the Rows, Columns, Values and Filters areas do</t>
  </si>
  <si>
    <t>I can build a PivotTable and read it</t>
  </si>
  <si>
    <t>I can change the aggregation (count/sum/average)</t>
  </si>
  <si>
    <t>I can filter a pivot and make a PivotChart</t>
  </si>
  <si>
    <t>Anatomy of a PivotTable</t>
  </si>
  <si>
    <t>The field list and the four drop areas</t>
  </si>
  <si>
    <t>When you insert a PivotTable, a Field List appears on the right with your column names at the top and FOUR areas below. You drag field names into these areas:</t>
  </si>
  <si>
    <t>Rows</t>
  </si>
  <si>
    <t>Groups the data down the left - one row per value (e.g. each MembershipType).</t>
  </si>
  <si>
    <t>Columns</t>
  </si>
  <si>
    <t>Groups the data across the top - turns a list into a cross-tab (e.g. Tenure across).</t>
  </si>
  <si>
    <t>Values</t>
  </si>
  <si>
    <t>The numbers in the middle - what gets summarised (Count, Sum, Average...).</t>
  </si>
  <si>
    <t>Filters</t>
  </si>
  <si>
    <t>A drop-down above the pivot that filters the WHOLE pivot (e.g. show only Card payments).</t>
  </si>
  <si>
    <t>Slicer (bonus)</t>
  </si>
  <si>
    <t>A clickable button panel that filters the pivot - friendlier than the Filters area. Insert &gt; Slicer.</t>
  </si>
  <si>
    <t>Data: Club Data</t>
  </si>
  <si>
    <t>Your blended member table from Module 5 - the source for most pivots here.</t>
  </si>
  <si>
    <t>MemberID</t>
  </si>
  <si>
    <t>Name</t>
  </si>
  <si>
    <t>MembershipType</t>
  </si>
  <si>
    <t>JoinYear</t>
  </si>
  <si>
    <t>MemberSegment</t>
  </si>
  <si>
    <t>Tenure</t>
  </si>
  <si>
    <t>Amount</t>
  </si>
  <si>
    <t>Method</t>
  </si>
  <si>
    <t>AmountReview</t>
  </si>
  <si>
    <t>Aisha Khan</t>
  </si>
  <si>
    <t>Adult</t>
  </si>
  <si>
    <t>Full</t>
  </si>
  <si>
    <t>Established</t>
  </si>
  <si>
    <t>Direct Debit</t>
  </si>
  <si>
    <t>Standard</t>
  </si>
  <si>
    <t>Tom Reilly</t>
  </si>
  <si>
    <t>Family</t>
  </si>
  <si>
    <t>Household</t>
  </si>
  <si>
    <t>High</t>
  </si>
  <si>
    <t>Grace O'Neil</t>
  </si>
  <si>
    <t>Junior</t>
  </si>
  <si>
    <t>Concession</t>
  </si>
  <si>
    <t>Recent</t>
  </si>
  <si>
    <t>Card</t>
  </si>
  <si>
    <t>Low</t>
  </si>
  <si>
    <t>David Patel</t>
  </si>
  <si>
    <t>Senior</t>
  </si>
  <si>
    <t>Veteran</t>
  </si>
  <si>
    <t>Maria Santos</t>
  </si>
  <si>
    <t>Liam Walsh</t>
  </si>
  <si>
    <t>Cash</t>
  </si>
  <si>
    <t>Chloe Bennett</t>
  </si>
  <si>
    <t>Noah Fischer</t>
  </si>
  <si>
    <t>Priya Sharma</t>
  </si>
  <si>
    <t>James Murray</t>
  </si>
  <si>
    <t>Sofia Rossi</t>
  </si>
  <si>
    <t>Ben Carter</t>
  </si>
  <si>
    <t>Hannah Lee</t>
  </si>
  <si>
    <t>Omar Hassan</t>
  </si>
  <si>
    <t>Ella Thompson</t>
  </si>
  <si>
    <t>Escalate</t>
  </si>
  <si>
    <t>Jack Robinson</t>
  </si>
  <si>
    <t>Mia Nguyen</t>
  </si>
  <si>
    <t>Daniel Clarke</t>
  </si>
  <si>
    <t>Zara Ahmed</t>
  </si>
  <si>
    <t>Lucas Meyer</t>
  </si>
  <si>
    <t>Freya Scott</t>
  </si>
  <si>
    <t>Adam Foster</t>
  </si>
  <si>
    <t>Isla Murphy</t>
  </si>
  <si>
    <t>Data: Bookings_All</t>
  </si>
  <si>
    <t>Your appended Jan+Feb bookings - used for the PivotChart.</t>
  </si>
  <si>
    <t>BookingID</t>
  </si>
  <si>
    <t>Activity</t>
  </si>
  <si>
    <t>Date</t>
  </si>
  <si>
    <t>DurationMins</t>
  </si>
  <si>
    <t>Swimming</t>
  </si>
  <si>
    <t>Tennis</t>
  </si>
  <si>
    <t>Gym</t>
  </si>
  <si>
    <t>Yoga</t>
  </si>
  <si>
    <t>Squash</t>
  </si>
  <si>
    <t>Task 1 - Build your first pivot</t>
  </si>
  <si>
    <t>Count members by membership type</t>
  </si>
  <si>
    <t>Insert a pivot from the Club Data, then group members by type and count them.</t>
  </si>
  <si>
    <t>Step by step</t>
  </si>
  <si>
    <t>①  Click any cell in the Club Data, then Insert &gt; PivotTable &gt; New Worksheet &gt; OK.</t>
  </si>
  <si>
    <t>②  In the Field List, drag 'MembershipType' into the ROWS area.</t>
  </si>
  <si>
    <t>③  Drag 'MemberID' into the VALUES area. It should show 'Count of MemberID'.</t>
  </si>
  <si>
    <t>④  You now have a count of members for each type, with a Grand Total at the bottom.</t>
  </si>
  <si>
    <t>Check it (read the number off your pivot and type it)</t>
  </si>
  <si>
    <t>Read this off your pivot</t>
  </si>
  <si>
    <t>Your answer</t>
  </si>
  <si>
    <t>Check</t>
  </si>
  <si>
    <t>🧭 Explore further</t>
  </si>
  <si>
    <t>How many members are 'Adult'?</t>
  </si>
  <si>
    <t>Explore: double-click any value in the pivot — Excel extracts the matching source rows to a new sheet (drill-down). Instant 'show me which members' evidence.</t>
  </si>
  <si>
    <t>What is the Grand Total (all members)?</t>
  </si>
  <si>
    <t>💡  If Values shows 'Sum' instead of 'Count', that's because the field was numeric - you'll fix exactly that in Task 2.</t>
  </si>
  <si>
    <t>Task 2 - Change the aggregation</t>
  </si>
  <si>
    <t>Count -&gt; Sum -&gt; Average, on the same pivot</t>
  </si>
  <si>
    <t>The same pivot can summarise differently. Put Method in Rows and Amount in Values, then switch how Amount is summarised.</t>
  </si>
  <si>
    <t>①  New pivot from Club Data. Drag 'Method' into ROWS and 'Amount' into VALUES.</t>
  </si>
  <si>
    <t>②  It probably shows 'Sum of Amount'. Read the Direct Debit total.</t>
  </si>
  <si>
    <t>③  Now click the Values field &gt; 'Value Field Settings' (or right-click a value &gt; Summarize Values By).</t>
  </si>
  <si>
    <t>④  Choose 'Average' and OK. The same pivot now shows the average payment per method.</t>
  </si>
  <si>
    <t>⑤  Try Count, Max, Min too - one pivot, many summaries.</t>
  </si>
  <si>
    <t>SUM of Amount for Direct Debit</t>
  </si>
  <si>
    <t>Explore: add Amount to Values TWICE — set one to Sum and one to Average, side by side. One pivot, two summaries of the same field.</t>
  </si>
  <si>
    <t>Now switch to AVERAGE: the average Card payment</t>
  </si>
  <si>
    <t>💡  'Summarize Values By' is the pivot version of choosing SUM vs AVERAGE vs COUNT - no formula needed.</t>
  </si>
  <si>
    <t>Task 3 - Add a second dimension</t>
  </si>
  <si>
    <t>Cross-tab: MembershipType against Tenure</t>
  </si>
  <si>
    <t>Drop a field into COLUMNS to turn a one-way list into a two-way cross-tab.</t>
  </si>
  <si>
    <t>①  New pivot from Club Data. Drag 'MembershipType' into ROWS.</t>
  </si>
  <si>
    <t>②  Drag 'Tenure' into COLUMNS.</t>
  </si>
  <si>
    <t>③  Drag 'MemberID' into VALUES (Count of MemberID).</t>
  </si>
  <si>
    <t>④  You now have a grid: types down the side, tenure bands across the top, counts in the middle.</t>
  </si>
  <si>
    <t>⑤  Find the cell where the Adult row meets the Recent column.</t>
  </si>
  <si>
    <t>Count of members who are Adult AND Recent</t>
  </si>
  <si>
    <t>Explore: drag Tenure from Columns to Rows, under MembershipType — same numbers, nested layout. Which is easier to read, and for whom?</t>
  </si>
  <si>
    <t>Grand Total of the whole cross-tab</t>
  </si>
  <si>
    <t>💡  A cross-tab answers a COUNTIFS-style question (two conditions) instantly - and you can see every combination at once.</t>
  </si>
  <si>
    <t>Task 4 - Filter the pivot</t>
  </si>
  <si>
    <t>The Filters area and Slicers</t>
  </si>
  <si>
    <t>Filtering shows only part of the data. Two ways: the Filters area (a dropdown) or a Slicer (clickable buttons).</t>
  </si>
  <si>
    <t>①  Use your Method pivot (Method in Rows, Sum of Amount in Values).</t>
  </si>
  <si>
    <t>②  Filters-area way: drag 'MembershipType' into the FILTERS area; use its dropdown above the pivot to show only 'Adult'.</t>
  </si>
  <si>
    <t>③  Slicer way: click the pivot &gt; PivotTable Analyze &gt; Insert Slicer &gt; tick 'Method' &gt; OK. Click 'Card' on the slicer.</t>
  </si>
  <si>
    <t>④  With the Card slicer selected, read the Card total. Click the slicer's clear button to remove the filter.</t>
  </si>
  <si>
    <t>With the slicer set to Card, how many Card payments are there? (switch Values to Count)</t>
  </si>
  <si>
    <t>Explore: select TWO slicer buttons with Ctrl-click. Then try Slicer Settings to hide items with no data.</t>
  </si>
  <si>
    <t>Total of Card payments (Sum)</t>
  </si>
  <si>
    <t>💡  A Slicer is just a friendlier filter - great for dashboards (Module 12), where you click buttons instead of using dropdowns.</t>
  </si>
  <si>
    <t>Task 5 - Make a PivotChart</t>
  </si>
  <si>
    <t>Chart the bookings by activity</t>
  </si>
  <si>
    <t>A PivotChart is a chart wired to a pivot - change the pivot and the chart follows. Build one from the combined bookings.</t>
  </si>
  <si>
    <t>①  Click any cell in the Bookings_All data &gt; Insert &gt; PivotChart (this makes a pivot AND a chart).</t>
  </si>
  <si>
    <t>②  Drag 'Activity' into the AXIS (Categories) area and 'BookingID' into VALUES (Count of BookingID).</t>
  </si>
  <si>
    <t>③  You get a bar chart of how many bookings per activity. Sort it largest-first if you like.</t>
  </si>
  <si>
    <t>④  Read the tallest bar.</t>
  </si>
  <si>
    <t>How many Swimming bookings does the chart show?</t>
  </si>
  <si>
    <t>Explore: right-click a Date in a bookings pivot &gt; Group &gt; Months — instant monthly trend, no formulas. Then add a slicer to the chart's pivot and watch the bars move.</t>
  </si>
  <si>
    <t>Total bookings across all activities</t>
  </si>
  <si>
    <t>💡  The chart and its pivot are linked: filter or re-drag the pivot and the chart updates with it.</t>
  </si>
  <si>
    <t>Support - PivotTable quick reference</t>
  </si>
  <si>
    <t>Where everything lives.</t>
  </si>
  <si>
    <t>Insert a pivot</t>
  </si>
  <si>
    <t>Click in the data &gt; Insert &gt; PivotTable &gt; New Worksheet &gt; OK.</t>
  </si>
  <si>
    <t>The four areas</t>
  </si>
  <si>
    <t>Rows (group down), Columns (group across), Values (the numbers), Filters (filter the whole pivot).</t>
  </si>
  <si>
    <t>Add a field</t>
  </si>
  <si>
    <t>Drag its name from the Field List into an area, or tick its box.</t>
  </si>
  <si>
    <t>Change the summary</t>
  </si>
  <si>
    <t>Click the Values field &gt; Value Field Settings &gt; Summarize Values By &gt; Sum / Count / Average / Max / Min.</t>
  </si>
  <si>
    <t>Show as a percentage</t>
  </si>
  <si>
    <t>Value Field Settings &gt; Show Values As &gt; '% of Grand Total'.</t>
  </si>
  <si>
    <t>Filter</t>
  </si>
  <si>
    <t>Drag a field to the Filters area and use its dropdown; OR Insert &gt; Slicer for clickable buttons.</t>
  </si>
  <si>
    <t>PivotChart</t>
  </si>
  <si>
    <t>Insert &gt; PivotChart (makes a pivot + chart), or select an existing pivot &gt; PivotChart.</t>
  </si>
  <si>
    <t>Refresh</t>
  </si>
  <si>
    <t>If the source data changes: PivotTable Analyze &gt; Refresh (pivots don't update on their own).</t>
  </si>
  <si>
    <t>Nothing breaks</t>
  </si>
  <si>
    <t>Drag a field out to remove it; drag it back to restore. The source data is untouched.</t>
  </si>
  <si>
    <t>Stretch - Show Values As, and reasoning</t>
  </si>
  <si>
    <t>Percentages and judgement</t>
  </si>
  <si>
    <t>On your members-by-type pivot, use Value Field Settings &gt; Show Values As &gt; '% of Grand Total' to see each type as a share of all members.</t>
  </si>
  <si>
    <t>What PERCENT of members are Adult? (one or two decimals is fine, e.g. 47.8 or 47.83)</t>
  </si>
  <si>
    <t>Explore: try 'Show Values As &gt; % of Column Total' on the cross-tab from Task 3 — shares within each tenure band. Different denominator, different story.</t>
  </si>
  <si>
    <t>Reasoning prompts (write your own - no marking)</t>
  </si>
  <si>
    <t>A pivot gave the same answer as your COUNTIFS in Module 9. When is a pivot the better tool, and when is a formula?</t>
  </si>
  <si>
    <t>Why must you Refresh a pivot after the data changes - what risk does forgetting create?</t>
  </si>
  <si>
    <t>'% of Grand Total' turned counts into shares. When is a share more useful to report than a raw count?</t>
  </si>
  <si>
    <t>Confidence &amp; Next Steps</t>
  </si>
  <si>
    <t>Your readiness gate for Module 12</t>
  </si>
  <si>
    <t>Mastery gate - ready for Module 12 when you can honestly tick all of these</t>
  </si>
  <si>
    <t>Type x in each yellow box you can tick.</t>
  </si>
  <si>
    <t>I can change the aggregation (count / sum / average)</t>
  </si>
  <si>
    <t>I can add a second dimension with Columns (a cross-tab)</t>
  </si>
  <si>
    <t>I can filter with the Filters area and with a Slicer</t>
  </si>
  <si>
    <t>I can make a PivotChart from a pivot</t>
  </si>
  <si>
    <t>Re-rate your confidence (compare with your baseline)</t>
  </si>
  <si>
    <t>Seeing these rise from your Module 11 baseline is the goal.</t>
  </si>
  <si>
    <t>Now (1-5)</t>
  </si>
  <si>
    <t>Next up - Module 12: Dashboards. You'll bring pivots, charts and slicers together onto one page that updates as you click - a simple, interactive summary of the club.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</si>
</sst>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yyyy\-mm\-dd"/>
  </numFmts>
  <fonts count="16" x14ac:knownFonts="1">
    <font>
      <sz val="11"/>
      <color theme="1"/>
      <name val="Calibri"/>
      <charset val="1"/>
    </font>
    <font>
      <b/>
      <sz val="18"/>
      <color rgb="FFFFFFFF"/>
      <name val="Arial"/>
      <family val="2"/>
    </font>
    <font>
      <b/>
      <sz val="7"/>
      <color rgb="FF8C8C8C"/>
      <name val="Arial"/>
      <family val="2"/>
    </font>
    <font>
      <sz val="11"/>
      <color rgb="FFFFFFFF"/>
      <name val="Arial"/>
      <family val="2"/>
    </font>
    <font>
      <sz val="8"/>
      <color rgb="FF595959"/>
      <name val="Arial"/>
      <family val="2"/>
    </font>
    <font>
      <b/>
      <sz val="8"/>
      <color rgb="FFFFFFFF"/>
      <name val="Arial"/>
      <family val="2"/>
    </font>
    <font>
      <sz val="11"/>
      <color rgb="FF000000"/>
      <name val="Arial"/>
      <family val="2"/>
    </font>
    <font>
      <b/>
      <sz val="12"/>
      <color rgb="FF1F3B57"/>
      <name val="Arial"/>
      <family val="2"/>
    </font>
    <font>
      <sz val="11"/>
      <color rgb="FF006100"/>
      <name val="Arial"/>
      <family val="2"/>
    </font>
    <font>
      <b/>
      <sz val="10.5"/>
      <color rgb="FFFFFFFF"/>
      <name val="Arial"/>
      <family val="2"/>
    </font>
    <font>
      <b/>
      <sz val="11"/>
      <color rgb="FF1F3B57"/>
      <name val="Arial"/>
      <family val="2"/>
    </font>
    <font>
      <b/>
      <sz val="11"/>
      <color rgb="FFFFFFFF"/>
      <name val="Arial"/>
      <family val="2"/>
    </font>
    <font>
      <b/>
      <sz val="10"/>
      <color rgb="FF1F6B6B"/>
      <name val="Arial"/>
      <family val="2"/>
    </font>
    <font>
      <b/>
      <sz val="11"/>
      <name val="Arial"/>
      <family val="2"/>
    </font>
    <font>
      <i/>
      <sz val="9.5"/>
      <color rgb="FF3F6363"/>
      <name val="Arial"/>
      <family val="2"/>
    </font>
    <font>
      <sz val="10.5"/>
      <color rgb="FF5B4A1F"/>
      <name val="Arial"/>
      <family val="2"/>
    </font>
  </fonts>
  <fills count="12">
    <fill>
      <patternFill patternType="none"/>
    </fill>
    <fill>
      <patternFill patternType="gray125"/>
    </fill>
    <fill>
      <patternFill patternType="solid">
        <fgColor rgb="FF1F3B57"/>
        <bgColor rgb="FF003366"/>
      </patternFill>
    </fill>
    <fill>
      <patternFill patternType="solid">
        <fgColor rgb="FF2E8B8B"/>
        <bgColor rgb="FF2E75B6"/>
      </patternFill>
    </fill>
    <fill>
      <patternFill patternType="solid">
        <fgColor rgb="FFE2E6EA"/>
        <bgColor rgb="FFEAF2F2"/>
      </patternFill>
    </fill>
    <fill>
      <patternFill patternType="solid">
        <fgColor rgb="FFEAF2F2"/>
        <bgColor rgb="FFEFF6F6"/>
      </patternFill>
    </fill>
    <fill>
      <patternFill patternType="solid">
        <fgColor rgb="FFC6EFCE"/>
        <bgColor rgb="FFE2E6EA"/>
      </patternFill>
    </fill>
    <fill>
      <patternFill patternType="solid">
        <fgColor rgb="FFFFF3C4"/>
        <bgColor rgb="FFFDF4E3"/>
      </patternFill>
    </fill>
    <fill>
      <patternFill patternType="solid">
        <fgColor rgb="FFF2F7F7"/>
        <bgColor rgb="FFEFF6F6"/>
      </patternFill>
    </fill>
    <fill>
      <patternFill patternType="solid">
        <fgColor rgb="FFFFFFFF"/>
        <bgColor rgb="FFF2F7F7"/>
      </patternFill>
    </fill>
    <fill>
      <patternFill patternType="solid">
        <fgColor rgb="FFEFF6F6"/>
        <bgColor rgb="FFF2F7F7"/>
      </patternFill>
    </fill>
    <fill>
      <patternFill patternType="solid">
        <fgColor rgb="FFFDF4E3"/>
        <bgColor rgb="FFF5F5F5"/>
      </patternFill>
    </fill>
  </fills>
  <borders count="9">
    <border>
      <left/>
      <right/>
      <top/>
      <bottom/>
      <diagonal/>
    </border>
    <border>
      <left/>
      <right/>
      <top/>
      <bottom style="medium">
        <color rgb="FF2E8B8B"/>
      </bottom>
      <diagonal/>
    </border>
    <border>
      <left style="thick">
        <color rgb="FF2E8B8B"/>
      </left>
      <right/>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2E8B8B"/>
      </left>
      <right style="hair">
        <color rgb="FF9DC3C3"/>
      </right>
      <top style="hair">
        <color rgb="FF9DC3C3"/>
      </top>
      <bottom style="hair">
        <color rgb="FF9DC3C3"/>
      </bottom>
      <diagonal/>
    </border>
    <border>
      <left style="thick">
        <color rgb="FFE8A33D"/>
      </left>
      <right/>
      <top/>
      <bottom/>
      <diagonal/>
    </border>
  </borders>
  <cellStyleXfs count="1">
    <xf numFmtId="0" fontId="0" fillId="0" borderId="0"/>
  </cellStyleXfs>
  <cellXfs count="33">
    <xf numFmtId="0" fontId="0" fillId="0" borderId="0" xfId="0"/>
    <xf numFmtId="0" fontId="15" fillId="11" borderId="8" xfId="0" applyFont="1" applyFill="1" applyBorder="1" applyAlignment="1">
      <alignment vertical="top" wrapText="1"/>
    </xf>
    <xf numFmtId="0" fontId="14" fillId="10" borderId="7" xfId="0" applyFont="1" applyFill="1" applyBorder="1" applyAlignment="1">
      <alignment vertical="top" wrapText="1"/>
    </xf>
    <xf numFmtId="0" fontId="9" fillId="2" borderId="0" xfId="0" applyFont="1" applyFill="1" applyAlignment="1">
      <alignment horizontal="left" vertical="center" wrapText="1" indent="1"/>
    </xf>
    <xf numFmtId="0" fontId="6" fillId="0" borderId="4" xfId="0" applyFont="1" applyBorder="1" applyAlignment="1">
      <alignment vertical="top" wrapText="1"/>
    </xf>
    <xf numFmtId="0" fontId="9" fillId="2" borderId="0" xfId="0" applyFont="1" applyFill="1" applyAlignment="1">
      <alignment vertical="center" wrapText="1" indent="1"/>
    </xf>
    <xf numFmtId="0" fontId="8" fillId="6" borderId="3" xfId="0" applyFont="1" applyFill="1" applyBorder="1" applyAlignment="1">
      <alignment vertical="top" wrapText="1"/>
    </xf>
    <xf numFmtId="0" fontId="7" fillId="5" borderId="2" xfId="0" applyFont="1" applyFill="1" applyBorder="1" applyAlignment="1">
      <alignment vertical="center" indent="1"/>
    </xf>
    <xf numFmtId="0" fontId="6" fillId="0" borderId="0" xfId="0" applyFont="1" applyAlignment="1">
      <alignment vertical="top" wrapText="1"/>
    </xf>
    <xf numFmtId="0" fontId="3" fillId="3" borderId="1" xfId="0" applyFont="1" applyFill="1" applyBorder="1" applyAlignment="1">
      <alignment horizontal="left" vertical="center"/>
    </xf>
    <xf numFmtId="0" fontId="1" fillId="2" borderId="0" xfId="0" applyFont="1" applyFill="1" applyAlignment="1">
      <alignment horizontal="left" vertical="center"/>
    </xf>
    <xf numFmtId="0" fontId="2" fillId="0" borderId="0" xfId="0" applyFont="1"/>
    <xf numFmtId="0" fontId="4" fillId="4" borderId="0" xfId="0" applyFont="1" applyFill="1" applyAlignment="1">
      <alignment horizontal="center" vertical="center"/>
    </xf>
    <xf numFmtId="0" fontId="5" fillId="3" borderId="0" xfId="0" applyFont="1" applyFill="1" applyAlignment="1">
      <alignment horizontal="center" vertical="center"/>
    </xf>
    <xf numFmtId="0" fontId="9" fillId="2" borderId="0" xfId="0" applyFont="1" applyFill="1" applyAlignment="1">
      <alignment vertical="center" wrapText="1"/>
    </xf>
    <xf numFmtId="0" fontId="10" fillId="0" borderId="5" xfId="0" applyFont="1" applyBorder="1" applyAlignment="1">
      <alignment vertical="top" wrapText="1"/>
    </xf>
    <xf numFmtId="0" fontId="6" fillId="0" borderId="5" xfId="0" applyFont="1" applyBorder="1" applyAlignment="1">
      <alignment vertical="top" wrapText="1"/>
    </xf>
    <xf numFmtId="0" fontId="11" fillId="2" borderId="1" xfId="0" applyFont="1" applyFill="1" applyBorder="1" applyAlignment="1">
      <alignment horizontal="center" vertical="center"/>
    </xf>
    <xf numFmtId="0" fontId="6" fillId="8" borderId="6" xfId="0" applyFont="1" applyFill="1" applyBorder="1" applyAlignment="1">
      <alignment horizontal="center"/>
    </xf>
    <xf numFmtId="0" fontId="6" fillId="8" borderId="6" xfId="0" applyFont="1" applyFill="1" applyBorder="1"/>
    <xf numFmtId="164" fontId="6" fillId="8" borderId="6" xfId="0" applyNumberFormat="1" applyFont="1" applyFill="1" applyBorder="1" applyAlignment="1">
      <alignment horizontal="right"/>
    </xf>
    <xf numFmtId="0" fontId="6" fillId="9" borderId="6" xfId="0" applyFont="1" applyFill="1" applyBorder="1" applyAlignment="1">
      <alignment horizontal="center"/>
    </xf>
    <xf numFmtId="0" fontId="6" fillId="9" borderId="6" xfId="0" applyFont="1" applyFill="1" applyBorder="1"/>
    <xf numFmtId="164" fontId="6" fillId="9" borderId="6" xfId="0" applyNumberFormat="1" applyFont="1" applyFill="1" applyBorder="1" applyAlignment="1">
      <alignment horizontal="right"/>
    </xf>
    <xf numFmtId="165" fontId="6" fillId="8" borderId="6" xfId="0" applyNumberFormat="1" applyFont="1" applyFill="1" applyBorder="1" applyAlignment="1">
      <alignment horizontal="center"/>
    </xf>
    <xf numFmtId="165" fontId="6" fillId="9" borderId="6" xfId="0" applyNumberFormat="1" applyFont="1" applyFill="1" applyBorder="1" applyAlignment="1">
      <alignment horizontal="center"/>
    </xf>
    <xf numFmtId="0" fontId="9" fillId="2" borderId="0" xfId="0" applyFont="1" applyFill="1" applyAlignment="1">
      <alignment horizontal="center" vertical="center" wrapText="1"/>
    </xf>
    <xf numFmtId="0" fontId="12" fillId="0" borderId="0" xfId="0" applyFont="1" applyAlignment="1">
      <alignment vertical="center"/>
    </xf>
    <xf numFmtId="0" fontId="13" fillId="0" borderId="5" xfId="0" applyFont="1" applyBorder="1" applyAlignment="1">
      <alignment horizontal="center" vertical="center"/>
    </xf>
    <xf numFmtId="0" fontId="14" fillId="10" borderId="7" xfId="0" applyFont="1" applyFill="1" applyBorder="1" applyAlignment="1">
      <alignment vertical="top" wrapText="1"/>
    </xf>
    <xf numFmtId="0" fontId="0" fillId="7" borderId="4" xfId="0" applyFill="1" applyBorder="1" applyAlignment="1" applyProtection="1">
      <alignment horizontal="center" vertical="center"/>
      <protection locked="0"/>
    </xf>
    <xf numFmtId="0" fontId="0" fillId="7" borderId="5" xfId="0" applyFill="1" applyBorder="1" applyAlignment="1" applyProtection="1">
      <alignment horizontal="center" vertical="center"/>
      <protection locked="0"/>
    </xf>
    <xf numFmtId="0" fontId="0" fillId="7" borderId="4" xfId="0" applyFill="1" applyBorder="1" applyAlignment="1" applyProtection="1">
      <alignment vertical="top" wrapText="1"/>
      <protection locked="0"/>
    </xf>
  </cellXfs>
  <cellStyles count="1">
    <cellStyle name="Normal" xfId="0" builtinId="0"/>
  </cellStyles>
  <dxfs count="12">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2F7F7"/>
      <rgbColor rgb="FFFF00FF"/>
      <rgbColor rgb="FF00FFFF"/>
      <rgbColor rgb="FF9C0006"/>
      <rgbColor rgb="FF006100"/>
      <rgbColor rgb="FF000080"/>
      <rgbColor rgb="FF548235"/>
      <rgbColor rgb="FF800080"/>
      <rgbColor rgb="FF1F6B6B"/>
      <rgbColor rgb="FFBFBFBF"/>
      <rgbColor rgb="FF7F7F7F"/>
      <rgbColor rgb="FF7F8C99"/>
      <rgbColor rgb="FF7030A0"/>
      <rgbColor rgb="FFFFF3C4"/>
      <rgbColor rgb="FFEA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FF6F6"/>
      <rgbColor rgb="FFC6EFCE"/>
      <rgbColor rgb="FFFDF4E3"/>
      <rgbColor rgb="FF9DC3C3"/>
      <rgbColor rgb="FFF5F5F5"/>
      <rgbColor rgb="FFE2E6EA"/>
      <rgbColor rgb="FFFFC7CE"/>
      <rgbColor rgb="FF2E75B6"/>
      <rgbColor rgb="FF33CCCC"/>
      <rgbColor rgb="FF99CC00"/>
      <rgbColor rgb="FFFFCC00"/>
      <rgbColor rgb="FFE8A33D"/>
      <rgbColor rgb="FFBF8F00"/>
      <rgbColor rgb="FF595959"/>
      <rgbColor rgb="FF8C8C8C"/>
      <rgbColor rgb="FF003366"/>
      <rgbColor rgb="FF2E8B8B"/>
      <rgbColor rgb="FF003300"/>
      <rgbColor rgb="FF5B4A1F"/>
      <rgbColor rgb="FF993300"/>
      <rgbColor rgb="FF993366"/>
      <rgbColor rgb="FF3F6363"/>
      <rgbColor rgb="FF1F3B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2</xdr:col>
      <xdr:colOff>1447402</xdr:colOff>
      <xdr:row>52</xdr:row>
      <xdr:rowOff>103740</xdr:rowOff>
    </xdr:to>
    <xdr:pic>
      <xdr:nvPicPr>
        <xdr:cNvPr id="2" name="Picture 1">
          <a:extLst>
            <a:ext uri="{FF2B5EF4-FFF2-40B4-BE49-F238E27FC236}">
              <a16:creationId xmlns:a16="http://schemas.microsoft.com/office/drawing/2014/main" id="{1B38012C-4DD9-8DCD-6AF3-146B2A04C6CB}"/>
            </a:ext>
          </a:extLst>
        </xdr:cNvPr>
        <xdr:cNvPicPr>
          <a:picLocks noChangeAspect="1"/>
        </xdr:cNvPicPr>
      </xdr:nvPicPr>
      <xdr:blipFill>
        <a:blip xmlns:r="http://schemas.openxmlformats.org/officeDocument/2006/relationships" r:embed="rId1"/>
        <a:stretch>
          <a:fillRect/>
        </a:stretch>
      </xdr:blipFill>
      <xdr:spPr>
        <a:xfrm>
          <a:off x="200025" y="4181475"/>
          <a:ext cx="3180952" cy="8276190"/>
        </a:xfrm>
        <a:prstGeom prst="rect">
          <a:avLst/>
        </a:prstGeom>
        <a:ln>
          <a:solidFill>
            <a:schemeClr val="accent1"/>
          </a:solid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sheetPr>
  <dimension ref="A1:V1000"/>
  <sheetViews>
    <sheetView showGridLines="0" zoomScaleNormal="100" workbookViewId="0">
      <selection activeCell="G23" sqref="G23:H26"/>
    </sheetView>
  </sheetViews>
  <sheetFormatPr defaultColWidth="14.42578125" defaultRowHeight="15" x14ac:dyDescent="0.25"/>
  <cols>
    <col min="1" max="1" width="3" customWidth="1"/>
    <col min="2" max="2" width="24" customWidth="1"/>
    <col min="3" max="5" width="14" customWidth="1"/>
    <col min="6" max="6" width="16" customWidth="1"/>
    <col min="7" max="7" width="14" customWidth="1"/>
    <col min="8" max="8" width="16" customWidth="1"/>
    <col min="10" max="22" width="3.42578125" customWidth="1"/>
  </cols>
  <sheetData>
    <row r="1" spans="1:22" ht="30" customHeight="1" x14ac:dyDescent="0.25">
      <c r="A1" s="10" t="s">
        <v>0</v>
      </c>
      <c r="B1" s="10"/>
      <c r="C1" s="10"/>
      <c r="D1" s="10"/>
      <c r="E1" s="10"/>
      <c r="F1" s="10"/>
      <c r="G1" s="10"/>
      <c r="H1" s="10"/>
      <c r="J1" s="11" t="s">
        <v>1</v>
      </c>
    </row>
    <row r="2" spans="1:22" ht="21.75" customHeight="1" x14ac:dyDescent="0.25">
      <c r="A2" s="9" t="s">
        <v>2</v>
      </c>
      <c r="B2" s="9"/>
      <c r="C2" s="9"/>
      <c r="D2" s="9"/>
      <c r="E2" s="9"/>
      <c r="F2" s="9"/>
      <c r="G2" s="9"/>
      <c r="H2" s="9"/>
      <c r="J2" s="12">
        <v>1</v>
      </c>
      <c r="K2" s="12">
        <v>2</v>
      </c>
      <c r="L2" s="12">
        <v>3</v>
      </c>
      <c r="M2" s="12">
        <v>4</v>
      </c>
      <c r="N2" s="12">
        <v>5</v>
      </c>
      <c r="O2" s="12">
        <v>6</v>
      </c>
      <c r="P2" s="12">
        <v>7</v>
      </c>
      <c r="Q2" s="12">
        <v>8</v>
      </c>
      <c r="R2" s="12">
        <v>9</v>
      </c>
      <c r="S2" s="12">
        <v>10</v>
      </c>
      <c r="T2" s="13">
        <v>11</v>
      </c>
      <c r="U2" s="12">
        <v>12</v>
      </c>
      <c r="V2" s="12">
        <v>13</v>
      </c>
    </row>
    <row r="4" spans="1:22" ht="51.75" customHeight="1" x14ac:dyDescent="0.25">
      <c r="A4" s="8" t="s">
        <v>3</v>
      </c>
      <c r="B4" s="8"/>
      <c r="C4" s="8"/>
      <c r="D4" s="8"/>
      <c r="E4" s="8"/>
      <c r="F4" s="8"/>
      <c r="G4" s="8"/>
      <c r="H4" s="8"/>
    </row>
    <row r="6" spans="1:22" ht="24" customHeight="1" x14ac:dyDescent="0.25">
      <c r="A6" s="7" t="s">
        <v>4</v>
      </c>
      <c r="B6" s="7"/>
      <c r="C6" s="7"/>
      <c r="D6" s="7"/>
      <c r="E6" s="7"/>
      <c r="F6" s="7"/>
      <c r="G6" s="7"/>
      <c r="H6" s="7"/>
    </row>
    <row r="7" spans="1:22" ht="43.5" customHeight="1" x14ac:dyDescent="0.25">
      <c r="A7" s="8" t="s">
        <v>5</v>
      </c>
      <c r="B7" s="8"/>
      <c r="C7" s="8"/>
      <c r="D7" s="8"/>
      <c r="E7" s="8"/>
      <c r="F7" s="8"/>
      <c r="G7" s="8"/>
      <c r="H7" s="8"/>
    </row>
    <row r="11" spans="1:22" ht="24" customHeight="1" x14ac:dyDescent="0.25">
      <c r="A11" s="7" t="s">
        <v>6</v>
      </c>
      <c r="B11" s="7"/>
      <c r="C11" s="7"/>
      <c r="D11" s="7"/>
      <c r="E11" s="7"/>
      <c r="F11" s="7"/>
      <c r="G11" s="7"/>
      <c r="H11" s="7"/>
    </row>
    <row r="12" spans="1:22" ht="15.75" customHeight="1" x14ac:dyDescent="0.25">
      <c r="A12" s="8" t="s">
        <v>7</v>
      </c>
      <c r="B12" s="8"/>
      <c r="C12" s="8"/>
      <c r="D12" s="8"/>
      <c r="E12" s="8"/>
      <c r="F12" s="8"/>
      <c r="G12" s="8"/>
      <c r="H12" s="8"/>
    </row>
    <row r="13" spans="1:22" ht="15.75" customHeight="1" x14ac:dyDescent="0.25">
      <c r="A13" s="8" t="s">
        <v>8</v>
      </c>
      <c r="B13" s="8"/>
      <c r="C13" s="8"/>
      <c r="D13" s="8"/>
      <c r="E13" s="8"/>
      <c r="F13" s="8"/>
      <c r="G13" s="8"/>
      <c r="H13" s="8"/>
    </row>
    <row r="14" spans="1:22" ht="15.75" customHeight="1" x14ac:dyDescent="0.25">
      <c r="A14" s="8" t="s">
        <v>9</v>
      </c>
      <c r="B14" s="8"/>
      <c r="C14" s="8"/>
      <c r="D14" s="8"/>
      <c r="E14" s="8"/>
      <c r="F14" s="8"/>
      <c r="G14" s="8"/>
      <c r="H14" s="8"/>
    </row>
    <row r="16" spans="1:22" ht="24" customHeight="1" x14ac:dyDescent="0.25">
      <c r="A16" s="7" t="s">
        <v>10</v>
      </c>
      <c r="B16" s="7"/>
      <c r="C16" s="7"/>
      <c r="D16" s="7"/>
      <c r="E16" s="7"/>
      <c r="F16" s="7"/>
      <c r="G16" s="7"/>
      <c r="H16" s="7"/>
    </row>
    <row r="17" spans="1:8" ht="15" customHeight="1" x14ac:dyDescent="0.25">
      <c r="B17" s="6" t="s">
        <v>11</v>
      </c>
      <c r="C17" s="6"/>
      <c r="D17" s="6"/>
      <c r="E17" s="6"/>
      <c r="F17" s="6"/>
      <c r="G17" s="6"/>
      <c r="H17" s="6"/>
    </row>
    <row r="18" spans="1:8" ht="15" customHeight="1" x14ac:dyDescent="0.25">
      <c r="B18" s="6"/>
      <c r="C18" s="6"/>
      <c r="D18" s="6"/>
      <c r="E18" s="6"/>
      <c r="F18" s="6"/>
      <c r="G18" s="6"/>
      <c r="H18" s="6"/>
    </row>
    <row r="19" spans="1:8" ht="15" customHeight="1" x14ac:dyDescent="0.25">
      <c r="B19" s="6"/>
      <c r="C19" s="6"/>
      <c r="D19" s="6"/>
      <c r="E19" s="6"/>
      <c r="F19" s="6"/>
      <c r="G19" s="6"/>
      <c r="H19" s="6"/>
    </row>
    <row r="21" spans="1:8" ht="24" customHeight="1" x14ac:dyDescent="0.25">
      <c r="A21" s="7" t="s">
        <v>12</v>
      </c>
      <c r="B21" s="7"/>
      <c r="C21" s="7"/>
      <c r="D21" s="7"/>
      <c r="E21" s="7"/>
      <c r="F21" s="7"/>
      <c r="G21" s="7"/>
      <c r="H21" s="7"/>
    </row>
    <row r="22" spans="1:8" ht="18" customHeight="1" x14ac:dyDescent="0.25">
      <c r="B22" s="5" t="s">
        <v>13</v>
      </c>
      <c r="C22" s="5"/>
      <c r="D22" s="5"/>
      <c r="E22" s="5"/>
      <c r="F22" s="5"/>
      <c r="G22" s="14" t="s">
        <v>14</v>
      </c>
    </row>
    <row r="23" spans="1:8" ht="15" customHeight="1" x14ac:dyDescent="0.25">
      <c r="B23" s="4" t="s">
        <v>15</v>
      </c>
      <c r="C23" s="4"/>
      <c r="D23" s="4"/>
      <c r="E23" s="4"/>
      <c r="F23" s="4"/>
      <c r="G23" s="30"/>
      <c r="H23" s="30"/>
    </row>
    <row r="24" spans="1:8" ht="15" customHeight="1" x14ac:dyDescent="0.25">
      <c r="B24" s="4" t="s">
        <v>16</v>
      </c>
      <c r="C24" s="4"/>
      <c r="D24" s="4"/>
      <c r="E24" s="4"/>
      <c r="F24" s="4"/>
      <c r="G24" s="30"/>
      <c r="H24" s="30"/>
    </row>
    <row r="25" spans="1:8" ht="15" customHeight="1" x14ac:dyDescent="0.25">
      <c r="B25" s="4" t="s">
        <v>17</v>
      </c>
      <c r="C25" s="4"/>
      <c r="D25" s="4"/>
      <c r="E25" s="4"/>
      <c r="F25" s="4"/>
      <c r="G25" s="30"/>
      <c r="H25" s="30"/>
    </row>
    <row r="26" spans="1:8" ht="15" customHeight="1" x14ac:dyDescent="0.25">
      <c r="B26" s="4" t="s">
        <v>18</v>
      </c>
      <c r="C26" s="4"/>
      <c r="D26" s="4"/>
      <c r="E26" s="4"/>
      <c r="F26" s="4"/>
      <c r="G26" s="30"/>
      <c r="H26" s="30"/>
    </row>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1">
    <mergeCell ref="B24:F24"/>
    <mergeCell ref="G24:H24"/>
    <mergeCell ref="B25:F25"/>
    <mergeCell ref="G25:H25"/>
    <mergeCell ref="B26:F26"/>
    <mergeCell ref="G26:H26"/>
    <mergeCell ref="B17:H19"/>
    <mergeCell ref="A21:H21"/>
    <mergeCell ref="B22:F22"/>
    <mergeCell ref="B23:F23"/>
    <mergeCell ref="G23:H23"/>
    <mergeCell ref="A11:H11"/>
    <mergeCell ref="A12:H12"/>
    <mergeCell ref="A13:H13"/>
    <mergeCell ref="A14:H14"/>
    <mergeCell ref="A16:H16"/>
    <mergeCell ref="A1:H1"/>
    <mergeCell ref="A2:H2"/>
    <mergeCell ref="A4:H4"/>
    <mergeCell ref="A6:H6"/>
    <mergeCell ref="A7:H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8B8B"/>
  </sheetPr>
  <dimension ref="A1:C994"/>
  <sheetViews>
    <sheetView showGridLines="0" zoomScaleNormal="100" workbookViewId="0">
      <selection activeCell="H2" sqref="H2"/>
    </sheetView>
  </sheetViews>
  <sheetFormatPr defaultColWidth="14.42578125" defaultRowHeight="15" x14ac:dyDescent="0.25"/>
  <cols>
    <col min="1" max="1" width="3" customWidth="1"/>
    <col min="2" max="2" width="26" customWidth="1"/>
    <col min="3" max="3" width="64" customWidth="1"/>
    <col min="4" max="4" width="12" customWidth="1"/>
    <col min="5" max="8" width="8.7109375" customWidth="1"/>
  </cols>
  <sheetData>
    <row r="1" spans="1:3" ht="30" customHeight="1" x14ac:dyDescent="0.25">
      <c r="A1" s="10" t="s">
        <v>19</v>
      </c>
      <c r="B1" s="10"/>
      <c r="C1" s="10"/>
    </row>
    <row r="2" spans="1:3" ht="21.75" customHeight="1" x14ac:dyDescent="0.25">
      <c r="A2" s="9" t="s">
        <v>20</v>
      </c>
      <c r="B2" s="9"/>
      <c r="C2" s="9"/>
    </row>
    <row r="4" spans="1:3" ht="33.75" customHeight="1" x14ac:dyDescent="0.25">
      <c r="A4" s="8" t="s">
        <v>21</v>
      </c>
      <c r="B4" s="8"/>
      <c r="C4" s="8"/>
    </row>
    <row r="6" spans="1:3" ht="39.75" customHeight="1" x14ac:dyDescent="0.25">
      <c r="B6" s="15" t="s">
        <v>22</v>
      </c>
      <c r="C6" s="16" t="s">
        <v>23</v>
      </c>
    </row>
    <row r="7" spans="1:3" ht="39.75" customHeight="1" x14ac:dyDescent="0.25">
      <c r="B7" s="15" t="s">
        <v>24</v>
      </c>
      <c r="C7" s="16" t="s">
        <v>25</v>
      </c>
    </row>
    <row r="8" spans="1:3" ht="39.75" customHeight="1" x14ac:dyDescent="0.25">
      <c r="B8" s="15" t="s">
        <v>26</v>
      </c>
      <c r="C8" s="16" t="s">
        <v>27</v>
      </c>
    </row>
    <row r="9" spans="1:3" ht="39.75" customHeight="1" x14ac:dyDescent="0.25">
      <c r="B9" s="15" t="s">
        <v>28</v>
      </c>
      <c r="C9" s="16" t="s">
        <v>29</v>
      </c>
    </row>
    <row r="10" spans="1:3" ht="39.75" customHeight="1" x14ac:dyDescent="0.25">
      <c r="B10" s="15" t="s">
        <v>30</v>
      </c>
      <c r="C10" s="16" t="s">
        <v>31</v>
      </c>
    </row>
    <row r="15" spans="1:3" ht="15.75" customHeight="1" x14ac:dyDescent="0.25"/>
    <row r="16" spans="1:3"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sheetProtection sheet="1" objects="1" scenarios="1" selectLockedCells="1"/>
  <mergeCells count="3">
    <mergeCell ref="A1:C1"/>
    <mergeCell ref="A2:C2"/>
    <mergeCell ref="A4:C4"/>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8C99"/>
  </sheetPr>
  <dimension ref="A1:I1000"/>
  <sheetViews>
    <sheetView showGridLines="0" zoomScaleNormal="100" workbookViewId="0">
      <pane ySplit="4" topLeftCell="A5" activePane="bottomLeft" state="frozen"/>
      <selection pane="bottomLeft" activeCell="C15" sqref="C15"/>
    </sheetView>
  </sheetViews>
  <sheetFormatPr defaultColWidth="14.42578125" defaultRowHeight="15" x14ac:dyDescent="0.25"/>
  <cols>
    <col min="1" max="1" width="11" customWidth="1"/>
    <col min="2" max="2" width="16" customWidth="1"/>
    <col min="3" max="3" width="17" customWidth="1"/>
    <col min="4" max="4" width="11" customWidth="1"/>
    <col min="5" max="5" width="16" customWidth="1"/>
    <col min="6" max="8" width="14" customWidth="1"/>
    <col min="9" max="9" width="15" customWidth="1"/>
    <col min="10" max="12" width="8.7109375" customWidth="1"/>
  </cols>
  <sheetData>
    <row r="1" spans="1:9" ht="30" customHeight="1" x14ac:dyDescent="0.25">
      <c r="A1" s="10" t="s">
        <v>32</v>
      </c>
      <c r="B1" s="10"/>
      <c r="C1" s="10"/>
      <c r="D1" s="10"/>
      <c r="E1" s="10"/>
      <c r="F1" s="10"/>
      <c r="G1" s="10"/>
      <c r="H1" s="10"/>
      <c r="I1" s="10"/>
    </row>
    <row r="2" spans="1:9" ht="21.75" customHeight="1" x14ac:dyDescent="0.25">
      <c r="A2" s="9" t="s">
        <v>33</v>
      </c>
      <c r="B2" s="9"/>
      <c r="C2" s="9"/>
      <c r="D2" s="9"/>
      <c r="E2" s="9"/>
      <c r="F2" s="9"/>
      <c r="G2" s="9"/>
      <c r="H2" s="9"/>
      <c r="I2" s="9"/>
    </row>
    <row r="4" spans="1:9" ht="19.5" customHeight="1" x14ac:dyDescent="0.25">
      <c r="A4" s="17" t="s">
        <v>34</v>
      </c>
      <c r="B4" s="17" t="s">
        <v>35</v>
      </c>
      <c r="C4" s="17" t="s">
        <v>36</v>
      </c>
      <c r="D4" s="17" t="s">
        <v>37</v>
      </c>
      <c r="E4" s="17" t="s">
        <v>38</v>
      </c>
      <c r="F4" s="17" t="s">
        <v>39</v>
      </c>
      <c r="G4" s="17" t="s">
        <v>40</v>
      </c>
      <c r="H4" s="17" t="s">
        <v>41</v>
      </c>
      <c r="I4" s="17" t="s">
        <v>42</v>
      </c>
    </row>
    <row r="5" spans="1:9" ht="15" customHeight="1" x14ac:dyDescent="0.25">
      <c r="A5" s="18">
        <v>1001</v>
      </c>
      <c r="B5" s="19" t="s">
        <v>43</v>
      </c>
      <c r="C5" s="19" t="s">
        <v>44</v>
      </c>
      <c r="D5" s="19">
        <v>2021</v>
      </c>
      <c r="E5" s="19" t="s">
        <v>45</v>
      </c>
      <c r="F5" s="19" t="s">
        <v>46</v>
      </c>
      <c r="G5" s="20">
        <v>35</v>
      </c>
      <c r="H5" s="19" t="s">
        <v>47</v>
      </c>
      <c r="I5" s="19" t="s">
        <v>48</v>
      </c>
    </row>
    <row r="6" spans="1:9" ht="15" customHeight="1" x14ac:dyDescent="0.25">
      <c r="A6" s="21">
        <v>1002</v>
      </c>
      <c r="B6" s="22" t="s">
        <v>49</v>
      </c>
      <c r="C6" s="22" t="s">
        <v>50</v>
      </c>
      <c r="D6" s="22">
        <v>2020</v>
      </c>
      <c r="E6" s="22" t="s">
        <v>51</v>
      </c>
      <c r="F6" s="22" t="s">
        <v>46</v>
      </c>
      <c r="G6" s="23">
        <v>55</v>
      </c>
      <c r="H6" s="22" t="s">
        <v>47</v>
      </c>
      <c r="I6" s="22" t="s">
        <v>52</v>
      </c>
    </row>
    <row r="7" spans="1:9" ht="15" customHeight="1" x14ac:dyDescent="0.25">
      <c r="A7" s="18">
        <v>1003</v>
      </c>
      <c r="B7" s="19" t="s">
        <v>53</v>
      </c>
      <c r="C7" s="19" t="s">
        <v>54</v>
      </c>
      <c r="D7" s="19">
        <v>2022</v>
      </c>
      <c r="E7" s="19" t="s">
        <v>55</v>
      </c>
      <c r="F7" s="19" t="s">
        <v>56</v>
      </c>
      <c r="G7" s="20">
        <v>20</v>
      </c>
      <c r="H7" s="19" t="s">
        <v>57</v>
      </c>
      <c r="I7" s="19" t="s">
        <v>58</v>
      </c>
    </row>
    <row r="8" spans="1:9" ht="15" customHeight="1" x14ac:dyDescent="0.25">
      <c r="A8" s="21">
        <v>1004</v>
      </c>
      <c r="B8" s="22" t="s">
        <v>59</v>
      </c>
      <c r="C8" s="22" t="s">
        <v>60</v>
      </c>
      <c r="D8" s="22">
        <v>2019</v>
      </c>
      <c r="E8" s="22" t="s">
        <v>55</v>
      </c>
      <c r="F8" s="22" t="s">
        <v>61</v>
      </c>
      <c r="G8" s="23">
        <v>28</v>
      </c>
      <c r="H8" s="22" t="s">
        <v>57</v>
      </c>
      <c r="I8" s="22" t="s">
        <v>58</v>
      </c>
    </row>
    <row r="9" spans="1:9" ht="15" customHeight="1" x14ac:dyDescent="0.25">
      <c r="A9" s="18">
        <v>1005</v>
      </c>
      <c r="B9" s="19" t="s">
        <v>62</v>
      </c>
      <c r="C9" s="19" t="s">
        <v>44</v>
      </c>
      <c r="D9" s="19">
        <v>2023</v>
      </c>
      <c r="E9" s="19" t="s">
        <v>45</v>
      </c>
      <c r="F9" s="19" t="s">
        <v>56</v>
      </c>
      <c r="G9" s="20">
        <v>35</v>
      </c>
      <c r="H9" s="19" t="s">
        <v>47</v>
      </c>
      <c r="I9" s="19" t="s">
        <v>48</v>
      </c>
    </row>
    <row r="10" spans="1:9" ht="15" customHeight="1" x14ac:dyDescent="0.25">
      <c r="A10" s="21">
        <v>1006</v>
      </c>
      <c r="B10" s="22" t="s">
        <v>63</v>
      </c>
      <c r="C10" s="22" t="s">
        <v>44</v>
      </c>
      <c r="D10" s="22">
        <v>2021</v>
      </c>
      <c r="E10" s="22" t="s">
        <v>45</v>
      </c>
      <c r="F10" s="22" t="s">
        <v>46</v>
      </c>
      <c r="G10" s="23">
        <v>35</v>
      </c>
      <c r="H10" s="22" t="s">
        <v>64</v>
      </c>
      <c r="I10" s="22" t="s">
        <v>48</v>
      </c>
    </row>
    <row r="11" spans="1:9" ht="15" customHeight="1" x14ac:dyDescent="0.25">
      <c r="A11" s="18">
        <v>1007</v>
      </c>
      <c r="B11" s="19" t="s">
        <v>65</v>
      </c>
      <c r="C11" s="19" t="s">
        <v>50</v>
      </c>
      <c r="D11" s="19">
        <v>2022</v>
      </c>
      <c r="E11" s="19" t="s">
        <v>51</v>
      </c>
      <c r="F11" s="19" t="s">
        <v>56</v>
      </c>
      <c r="G11" s="20">
        <v>55</v>
      </c>
      <c r="H11" s="19" t="s">
        <v>47</v>
      </c>
      <c r="I11" s="19" t="s">
        <v>52</v>
      </c>
    </row>
    <row r="12" spans="1:9" ht="15" customHeight="1" x14ac:dyDescent="0.25">
      <c r="A12" s="21">
        <v>1008</v>
      </c>
      <c r="B12" s="22" t="s">
        <v>66</v>
      </c>
      <c r="C12" s="22" t="s">
        <v>54</v>
      </c>
      <c r="D12" s="22">
        <v>2020</v>
      </c>
      <c r="E12" s="22" t="s">
        <v>55</v>
      </c>
      <c r="F12" s="22" t="s">
        <v>46</v>
      </c>
      <c r="G12" s="23">
        <v>20</v>
      </c>
      <c r="H12" s="22" t="s">
        <v>57</v>
      </c>
      <c r="I12" s="22" t="s">
        <v>58</v>
      </c>
    </row>
    <row r="13" spans="1:9" ht="15" customHeight="1" x14ac:dyDescent="0.25">
      <c r="A13" s="18">
        <v>1009</v>
      </c>
      <c r="B13" s="19" t="s">
        <v>67</v>
      </c>
      <c r="C13" s="19" t="s">
        <v>44</v>
      </c>
      <c r="D13" s="19">
        <v>2023</v>
      </c>
      <c r="E13" s="19" t="s">
        <v>45</v>
      </c>
      <c r="F13" s="19" t="s">
        <v>56</v>
      </c>
      <c r="G13" s="20">
        <v>35</v>
      </c>
      <c r="H13" s="19" t="s">
        <v>47</v>
      </c>
      <c r="I13" s="19" t="s">
        <v>48</v>
      </c>
    </row>
    <row r="14" spans="1:9" ht="15" customHeight="1" x14ac:dyDescent="0.25">
      <c r="A14" s="21">
        <v>1010</v>
      </c>
      <c r="B14" s="22" t="s">
        <v>68</v>
      </c>
      <c r="C14" s="22" t="s">
        <v>60</v>
      </c>
      <c r="D14" s="22">
        <v>2018</v>
      </c>
      <c r="E14" s="22" t="s">
        <v>55</v>
      </c>
      <c r="F14" s="22" t="s">
        <v>61</v>
      </c>
      <c r="G14" s="23">
        <v>28</v>
      </c>
      <c r="H14" s="22" t="s">
        <v>57</v>
      </c>
      <c r="I14" s="22" t="s">
        <v>58</v>
      </c>
    </row>
    <row r="15" spans="1:9" ht="15" customHeight="1" x14ac:dyDescent="0.25">
      <c r="A15" s="18">
        <v>1011</v>
      </c>
      <c r="B15" s="19" t="s">
        <v>69</v>
      </c>
      <c r="C15" s="19" t="s">
        <v>44</v>
      </c>
      <c r="D15" s="19">
        <v>2022</v>
      </c>
      <c r="E15" s="19" t="s">
        <v>45</v>
      </c>
      <c r="F15" s="19" t="s">
        <v>56</v>
      </c>
      <c r="G15" s="20">
        <v>35</v>
      </c>
      <c r="H15" s="19" t="s">
        <v>47</v>
      </c>
      <c r="I15" s="19" t="s">
        <v>48</v>
      </c>
    </row>
    <row r="16" spans="1:9" ht="15" customHeight="1" x14ac:dyDescent="0.25">
      <c r="A16" s="21">
        <v>1012</v>
      </c>
      <c r="B16" s="22" t="s">
        <v>70</v>
      </c>
      <c r="C16" s="22" t="s">
        <v>50</v>
      </c>
      <c r="D16" s="22">
        <v>2021</v>
      </c>
      <c r="E16" s="22" t="s">
        <v>51</v>
      </c>
      <c r="F16" s="22" t="s">
        <v>46</v>
      </c>
      <c r="G16" s="23">
        <v>55</v>
      </c>
      <c r="H16" s="22" t="s">
        <v>64</v>
      </c>
      <c r="I16" s="22" t="s">
        <v>52</v>
      </c>
    </row>
    <row r="17" spans="1:9" ht="15" customHeight="1" x14ac:dyDescent="0.25">
      <c r="A17" s="18">
        <v>1013</v>
      </c>
      <c r="B17" s="19" t="s">
        <v>71</v>
      </c>
      <c r="C17" s="19" t="s">
        <v>54</v>
      </c>
      <c r="D17" s="19">
        <v>2023</v>
      </c>
      <c r="E17" s="19" t="s">
        <v>55</v>
      </c>
      <c r="F17" s="19" t="s">
        <v>56</v>
      </c>
      <c r="G17" s="20">
        <v>20</v>
      </c>
      <c r="H17" s="19" t="s">
        <v>57</v>
      </c>
      <c r="I17" s="19" t="s">
        <v>58</v>
      </c>
    </row>
    <row r="18" spans="1:9" ht="15" customHeight="1" x14ac:dyDescent="0.25">
      <c r="A18" s="21">
        <v>1014</v>
      </c>
      <c r="B18" s="22" t="s">
        <v>72</v>
      </c>
      <c r="C18" s="22" t="s">
        <v>44</v>
      </c>
      <c r="D18" s="22">
        <v>2020</v>
      </c>
      <c r="E18" s="22" t="s">
        <v>45</v>
      </c>
      <c r="F18" s="22" t="s">
        <v>46</v>
      </c>
      <c r="G18" s="23">
        <v>35</v>
      </c>
      <c r="H18" s="22" t="s">
        <v>47</v>
      </c>
      <c r="I18" s="22" t="s">
        <v>48</v>
      </c>
    </row>
    <row r="19" spans="1:9" ht="15" customHeight="1" x14ac:dyDescent="0.25">
      <c r="A19" s="18">
        <v>1015</v>
      </c>
      <c r="B19" s="19" t="s">
        <v>73</v>
      </c>
      <c r="C19" s="19" t="s">
        <v>44</v>
      </c>
      <c r="D19" s="19">
        <v>2022</v>
      </c>
      <c r="E19" s="19" t="s">
        <v>45</v>
      </c>
      <c r="F19" s="19" t="s">
        <v>56</v>
      </c>
      <c r="G19" s="20">
        <v>350</v>
      </c>
      <c r="H19" s="19" t="s">
        <v>57</v>
      </c>
      <c r="I19" s="19" t="s">
        <v>74</v>
      </c>
    </row>
    <row r="20" spans="1:9" ht="15" customHeight="1" x14ac:dyDescent="0.25">
      <c r="A20" s="21">
        <v>1016</v>
      </c>
      <c r="B20" s="22" t="s">
        <v>75</v>
      </c>
      <c r="C20" s="22" t="s">
        <v>60</v>
      </c>
      <c r="D20" s="22">
        <v>2019</v>
      </c>
      <c r="E20" s="22" t="s">
        <v>55</v>
      </c>
      <c r="F20" s="22" t="s">
        <v>61</v>
      </c>
      <c r="G20" s="23">
        <v>28</v>
      </c>
      <c r="H20" s="22" t="s">
        <v>57</v>
      </c>
      <c r="I20" s="22" t="s">
        <v>58</v>
      </c>
    </row>
    <row r="21" spans="1:9" ht="15.75" customHeight="1" x14ac:dyDescent="0.25">
      <c r="A21" s="18">
        <v>1017</v>
      </c>
      <c r="B21" s="19" t="s">
        <v>76</v>
      </c>
      <c r="C21" s="19" t="s">
        <v>44</v>
      </c>
      <c r="D21" s="19">
        <v>2023</v>
      </c>
      <c r="E21" s="19" t="s">
        <v>45</v>
      </c>
      <c r="F21" s="19" t="s">
        <v>56</v>
      </c>
      <c r="G21" s="20">
        <v>35</v>
      </c>
      <c r="H21" s="19" t="s">
        <v>47</v>
      </c>
      <c r="I21" s="19" t="s">
        <v>48</v>
      </c>
    </row>
    <row r="22" spans="1:9" ht="15.75" customHeight="1" x14ac:dyDescent="0.25">
      <c r="A22" s="21">
        <v>1018</v>
      </c>
      <c r="B22" s="22" t="s">
        <v>77</v>
      </c>
      <c r="C22" s="22" t="s">
        <v>50</v>
      </c>
      <c r="D22" s="22">
        <v>2021</v>
      </c>
      <c r="E22" s="22" t="s">
        <v>51</v>
      </c>
      <c r="F22" s="22" t="s">
        <v>46</v>
      </c>
      <c r="G22" s="23">
        <v>55</v>
      </c>
      <c r="H22" s="22" t="s">
        <v>47</v>
      </c>
      <c r="I22" s="22" t="s">
        <v>52</v>
      </c>
    </row>
    <row r="23" spans="1:9" ht="15.75" customHeight="1" x14ac:dyDescent="0.25">
      <c r="A23" s="18">
        <v>1019</v>
      </c>
      <c r="B23" s="19" t="s">
        <v>78</v>
      </c>
      <c r="C23" s="19" t="s">
        <v>54</v>
      </c>
      <c r="D23" s="19">
        <v>2022</v>
      </c>
      <c r="E23" s="19" t="s">
        <v>55</v>
      </c>
      <c r="F23" s="19" t="s">
        <v>56</v>
      </c>
      <c r="G23" s="20">
        <v>20</v>
      </c>
      <c r="H23" s="19" t="s">
        <v>57</v>
      </c>
      <c r="I23" s="19" t="s">
        <v>58</v>
      </c>
    </row>
    <row r="24" spans="1:9" ht="15.75" customHeight="1" x14ac:dyDescent="0.25">
      <c r="A24" s="21">
        <v>1020</v>
      </c>
      <c r="B24" s="22" t="s">
        <v>79</v>
      </c>
      <c r="C24" s="22" t="s">
        <v>44</v>
      </c>
      <c r="D24" s="22">
        <v>2020</v>
      </c>
      <c r="E24" s="22" t="s">
        <v>45</v>
      </c>
      <c r="F24" s="22" t="s">
        <v>46</v>
      </c>
      <c r="G24" s="23">
        <v>35</v>
      </c>
      <c r="H24" s="22" t="s">
        <v>64</v>
      </c>
      <c r="I24" s="22" t="s">
        <v>48</v>
      </c>
    </row>
    <row r="25" spans="1:9" ht="15.75" customHeight="1" x14ac:dyDescent="0.25">
      <c r="A25" s="18">
        <v>1021</v>
      </c>
      <c r="B25" s="19" t="s">
        <v>80</v>
      </c>
      <c r="C25" s="19" t="s">
        <v>44</v>
      </c>
      <c r="D25" s="19">
        <v>2023</v>
      </c>
      <c r="E25" s="19" t="s">
        <v>45</v>
      </c>
      <c r="F25" s="19" t="s">
        <v>56</v>
      </c>
      <c r="G25" s="19"/>
      <c r="H25" s="19"/>
      <c r="I25" s="19"/>
    </row>
    <row r="26" spans="1:9" ht="15.75" customHeight="1" x14ac:dyDescent="0.25">
      <c r="A26" s="21">
        <v>1022</v>
      </c>
      <c r="B26" s="22" t="s">
        <v>81</v>
      </c>
      <c r="C26" s="22" t="s">
        <v>60</v>
      </c>
      <c r="D26" s="22">
        <v>2021</v>
      </c>
      <c r="E26" s="22" t="s">
        <v>55</v>
      </c>
      <c r="F26" s="22" t="s">
        <v>46</v>
      </c>
      <c r="G26" s="22"/>
      <c r="H26" s="22"/>
      <c r="I26" s="22"/>
    </row>
    <row r="27" spans="1:9" ht="15.75" customHeight="1" x14ac:dyDescent="0.25">
      <c r="A27" s="18">
        <v>1023</v>
      </c>
      <c r="B27" s="19" t="s">
        <v>82</v>
      </c>
      <c r="C27" s="19" t="s">
        <v>44</v>
      </c>
      <c r="D27" s="19">
        <v>2022</v>
      </c>
      <c r="E27" s="19" t="s">
        <v>45</v>
      </c>
      <c r="F27" s="19" t="s">
        <v>56</v>
      </c>
      <c r="G27" s="19"/>
      <c r="H27" s="19"/>
      <c r="I27" s="19"/>
    </row>
    <row r="28" spans="1:9" ht="15.75" customHeight="1" x14ac:dyDescent="0.25"/>
    <row r="29" spans="1:9" ht="15.75" customHeight="1" x14ac:dyDescent="0.25"/>
    <row r="30" spans="1:9" ht="15.75" customHeight="1" x14ac:dyDescent="0.25"/>
    <row r="31" spans="1:9" ht="15.75" customHeight="1" x14ac:dyDescent="0.25"/>
    <row r="32" spans="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4:I27" xr:uid="{00000000-0009-0000-0000-000002000000}"/>
  <mergeCells count="2">
    <mergeCell ref="A1:I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8C99"/>
  </sheetPr>
  <dimension ref="A1:E1000"/>
  <sheetViews>
    <sheetView showGridLines="0" zoomScaleNormal="100" workbookViewId="0">
      <pane ySplit="4" topLeftCell="A5" activePane="bottomLeft" state="frozen"/>
      <selection pane="bottomLeft" sqref="A1:E1"/>
    </sheetView>
  </sheetViews>
  <sheetFormatPr defaultColWidth="14.42578125" defaultRowHeight="15" x14ac:dyDescent="0.25"/>
  <cols>
    <col min="1" max="1" width="12" customWidth="1"/>
    <col min="2" max="3" width="11" customWidth="1"/>
    <col min="4" max="4" width="17" customWidth="1"/>
    <col min="5" max="5" width="15" customWidth="1"/>
    <col min="6" max="12" width="8.7109375" customWidth="1"/>
  </cols>
  <sheetData>
    <row r="1" spans="1:5" ht="30" customHeight="1" x14ac:dyDescent="0.25">
      <c r="A1" s="10" t="s">
        <v>83</v>
      </c>
      <c r="B1" s="10"/>
      <c r="C1" s="10"/>
      <c r="D1" s="10"/>
      <c r="E1" s="10"/>
    </row>
    <row r="2" spans="1:5" ht="21.75" customHeight="1" x14ac:dyDescent="0.25">
      <c r="A2" s="9" t="s">
        <v>84</v>
      </c>
      <c r="B2" s="9"/>
      <c r="C2" s="9"/>
      <c r="D2" s="9"/>
      <c r="E2" s="9"/>
    </row>
    <row r="4" spans="1:5" ht="19.5" customHeight="1" x14ac:dyDescent="0.25">
      <c r="A4" s="17" t="s">
        <v>85</v>
      </c>
      <c r="B4" s="17" t="s">
        <v>34</v>
      </c>
      <c r="C4" s="17" t="s">
        <v>86</v>
      </c>
      <c r="D4" s="17" t="s">
        <v>87</v>
      </c>
      <c r="E4" s="17" t="s">
        <v>88</v>
      </c>
    </row>
    <row r="5" spans="1:5" ht="15" customHeight="1" x14ac:dyDescent="0.25">
      <c r="A5" s="18">
        <v>5001</v>
      </c>
      <c r="B5" s="19">
        <v>1001</v>
      </c>
      <c r="C5" s="19" t="s">
        <v>89</v>
      </c>
      <c r="D5" s="24">
        <v>45299</v>
      </c>
      <c r="E5" s="19">
        <v>45</v>
      </c>
    </row>
    <row r="6" spans="1:5" ht="15" customHeight="1" x14ac:dyDescent="0.25">
      <c r="A6" s="21">
        <v>5002</v>
      </c>
      <c r="B6" s="22">
        <v>1003</v>
      </c>
      <c r="C6" s="22" t="s">
        <v>90</v>
      </c>
      <c r="D6" s="25">
        <v>45299</v>
      </c>
      <c r="E6" s="22">
        <v>60</v>
      </c>
    </row>
    <row r="7" spans="1:5" ht="15" customHeight="1" x14ac:dyDescent="0.25">
      <c r="A7" s="18">
        <v>5003</v>
      </c>
      <c r="B7" s="19">
        <v>1005</v>
      </c>
      <c r="C7" s="19" t="s">
        <v>91</v>
      </c>
      <c r="D7" s="24">
        <v>45299</v>
      </c>
      <c r="E7" s="19">
        <v>30</v>
      </c>
    </row>
    <row r="8" spans="1:5" ht="15" customHeight="1" x14ac:dyDescent="0.25">
      <c r="A8" s="21">
        <v>5004</v>
      </c>
      <c r="B8" s="22">
        <v>1002</v>
      </c>
      <c r="C8" s="22" t="s">
        <v>89</v>
      </c>
      <c r="D8" s="25">
        <v>45300</v>
      </c>
      <c r="E8" s="22">
        <v>45</v>
      </c>
    </row>
    <row r="9" spans="1:5" ht="15" customHeight="1" x14ac:dyDescent="0.25">
      <c r="A9" s="18">
        <v>5005</v>
      </c>
      <c r="B9" s="19">
        <v>1010</v>
      </c>
      <c r="C9" s="19" t="s">
        <v>92</v>
      </c>
      <c r="D9" s="24">
        <v>45300</v>
      </c>
      <c r="E9" s="19">
        <v>60</v>
      </c>
    </row>
    <row r="10" spans="1:5" ht="15" customHeight="1" x14ac:dyDescent="0.25">
      <c r="A10" s="21">
        <v>5006</v>
      </c>
      <c r="B10" s="22">
        <v>1006</v>
      </c>
      <c r="C10" s="22" t="s">
        <v>93</v>
      </c>
      <c r="D10" s="25">
        <v>45300</v>
      </c>
      <c r="E10" s="22">
        <v>40</v>
      </c>
    </row>
    <row r="11" spans="1:5" ht="15" customHeight="1" x14ac:dyDescent="0.25">
      <c r="A11" s="18">
        <v>5007</v>
      </c>
      <c r="B11" s="19">
        <v>1009</v>
      </c>
      <c r="C11" s="19" t="s">
        <v>91</v>
      </c>
      <c r="D11" s="24">
        <v>45301</v>
      </c>
      <c r="E11" s="19">
        <v>30</v>
      </c>
    </row>
    <row r="12" spans="1:5" ht="15" customHeight="1" x14ac:dyDescent="0.25">
      <c r="A12" s="21">
        <v>5008</v>
      </c>
      <c r="B12" s="22">
        <v>1014</v>
      </c>
      <c r="C12" s="22" t="s">
        <v>89</v>
      </c>
      <c r="D12" s="25">
        <v>45301</v>
      </c>
      <c r="E12" s="22">
        <v>45</v>
      </c>
    </row>
    <row r="13" spans="1:5" ht="15" customHeight="1" x14ac:dyDescent="0.25">
      <c r="A13" s="18">
        <v>5009</v>
      </c>
      <c r="B13" s="19">
        <v>1004</v>
      </c>
      <c r="C13" s="19" t="s">
        <v>92</v>
      </c>
      <c r="D13" s="24">
        <v>45301</v>
      </c>
      <c r="E13" s="19">
        <v>60</v>
      </c>
    </row>
    <row r="14" spans="1:5" ht="15" customHeight="1" x14ac:dyDescent="0.25">
      <c r="A14" s="21">
        <v>5010</v>
      </c>
      <c r="B14" s="22">
        <v>1011</v>
      </c>
      <c r="C14" s="22" t="s">
        <v>90</v>
      </c>
      <c r="D14" s="25">
        <v>45301</v>
      </c>
      <c r="E14" s="22">
        <v>60</v>
      </c>
    </row>
    <row r="15" spans="1:5" ht="15" customHeight="1" x14ac:dyDescent="0.25">
      <c r="A15" s="18">
        <v>5011</v>
      </c>
      <c r="B15" s="19">
        <v>1001</v>
      </c>
      <c r="C15" s="19" t="s">
        <v>91</v>
      </c>
      <c r="D15" s="24">
        <v>45302</v>
      </c>
      <c r="E15" s="19">
        <v>30</v>
      </c>
    </row>
    <row r="16" spans="1:5" ht="15" customHeight="1" x14ac:dyDescent="0.25">
      <c r="A16" s="21">
        <v>5012</v>
      </c>
      <c r="B16" s="22">
        <v>1017</v>
      </c>
      <c r="C16" s="22" t="s">
        <v>89</v>
      </c>
      <c r="D16" s="25">
        <v>45302</v>
      </c>
      <c r="E16" s="22">
        <v>45</v>
      </c>
    </row>
    <row r="17" spans="1:5" ht="15" customHeight="1" x14ac:dyDescent="0.25">
      <c r="A17" s="18">
        <v>5013</v>
      </c>
      <c r="B17" s="19">
        <v>1020</v>
      </c>
      <c r="C17" s="19" t="s">
        <v>93</v>
      </c>
      <c r="D17" s="24">
        <v>45302</v>
      </c>
      <c r="E17" s="19">
        <v>40</v>
      </c>
    </row>
    <row r="18" spans="1:5" ht="15" customHeight="1" x14ac:dyDescent="0.25">
      <c r="A18" s="21">
        <v>5014</v>
      </c>
      <c r="B18" s="22">
        <v>1007</v>
      </c>
      <c r="C18" s="22" t="s">
        <v>90</v>
      </c>
      <c r="D18" s="25">
        <v>45303</v>
      </c>
      <c r="E18" s="22">
        <v>60</v>
      </c>
    </row>
    <row r="19" spans="1:5" ht="15" customHeight="1" x14ac:dyDescent="0.25">
      <c r="A19" s="18">
        <v>5015</v>
      </c>
      <c r="B19" s="19">
        <v>1015</v>
      </c>
      <c r="C19" s="19" t="s">
        <v>91</v>
      </c>
      <c r="D19" s="24">
        <v>45303</v>
      </c>
      <c r="E19" s="19">
        <v>30</v>
      </c>
    </row>
    <row r="20" spans="1:5" ht="15" customHeight="1" x14ac:dyDescent="0.25">
      <c r="A20" s="21">
        <v>5016</v>
      </c>
      <c r="B20" s="22">
        <v>1003</v>
      </c>
      <c r="C20" s="22" t="s">
        <v>89</v>
      </c>
      <c r="D20" s="25">
        <v>45303</v>
      </c>
      <c r="E20" s="22">
        <v>45</v>
      </c>
    </row>
    <row r="21" spans="1:5" ht="15.75" customHeight="1" x14ac:dyDescent="0.25">
      <c r="A21" s="18">
        <v>5017</v>
      </c>
      <c r="B21" s="19">
        <v>1021</v>
      </c>
      <c r="C21" s="19" t="s">
        <v>92</v>
      </c>
      <c r="D21" s="24">
        <v>45303</v>
      </c>
      <c r="E21" s="19">
        <v>60</v>
      </c>
    </row>
    <row r="22" spans="1:5" ht="15.75" customHeight="1" x14ac:dyDescent="0.25">
      <c r="A22" s="21">
        <v>5018</v>
      </c>
      <c r="B22" s="22">
        <v>1012</v>
      </c>
      <c r="C22" s="22" t="s">
        <v>91</v>
      </c>
      <c r="D22" s="25">
        <v>45304</v>
      </c>
      <c r="E22" s="22">
        <v>30</v>
      </c>
    </row>
    <row r="23" spans="1:5" ht="15.75" customHeight="1" x14ac:dyDescent="0.25">
      <c r="A23" s="18">
        <v>5019</v>
      </c>
      <c r="B23" s="19">
        <v>1016</v>
      </c>
      <c r="C23" s="19" t="s">
        <v>89</v>
      </c>
      <c r="D23" s="24">
        <v>45304</v>
      </c>
      <c r="E23" s="19">
        <v>45</v>
      </c>
    </row>
    <row r="24" spans="1:5" ht="15.75" customHeight="1" x14ac:dyDescent="0.25">
      <c r="A24" s="21">
        <v>5020</v>
      </c>
      <c r="B24" s="22">
        <v>1009</v>
      </c>
      <c r="C24" s="22" t="s">
        <v>90</v>
      </c>
      <c r="D24" s="25">
        <v>45304</v>
      </c>
      <c r="E24" s="22">
        <v>60</v>
      </c>
    </row>
    <row r="25" spans="1:5" ht="15.75" customHeight="1" x14ac:dyDescent="0.25">
      <c r="A25" s="18">
        <v>5021</v>
      </c>
      <c r="B25" s="19">
        <v>1002</v>
      </c>
      <c r="C25" s="19" t="s">
        <v>89</v>
      </c>
      <c r="D25" s="24">
        <v>45327</v>
      </c>
      <c r="E25" s="19">
        <v>45</v>
      </c>
    </row>
    <row r="26" spans="1:5" ht="15.75" customHeight="1" x14ac:dyDescent="0.25">
      <c r="A26" s="21">
        <v>5022</v>
      </c>
      <c r="B26" s="22">
        <v>1009</v>
      </c>
      <c r="C26" s="22" t="s">
        <v>91</v>
      </c>
      <c r="D26" s="25">
        <v>45328</v>
      </c>
      <c r="E26" s="22">
        <v>30</v>
      </c>
    </row>
    <row r="27" spans="1:5" ht="15.75" customHeight="1" x14ac:dyDescent="0.25">
      <c r="A27" s="18">
        <v>5023</v>
      </c>
      <c r="B27" s="19">
        <v>1003</v>
      </c>
      <c r="C27" s="19" t="s">
        <v>90</v>
      </c>
      <c r="D27" s="24">
        <v>45328</v>
      </c>
      <c r="E27" s="19">
        <v>60</v>
      </c>
    </row>
    <row r="28" spans="1:5" ht="15.75" customHeight="1" x14ac:dyDescent="0.25">
      <c r="A28" s="21">
        <v>5024</v>
      </c>
      <c r="B28" s="22">
        <v>1005</v>
      </c>
      <c r="C28" s="22" t="s">
        <v>89</v>
      </c>
      <c r="D28" s="25">
        <v>45329</v>
      </c>
      <c r="E28" s="22">
        <v>45</v>
      </c>
    </row>
    <row r="29" spans="1:5" ht="15.75" customHeight="1" x14ac:dyDescent="0.25">
      <c r="A29" s="18">
        <v>5025</v>
      </c>
      <c r="B29" s="19">
        <v>1010</v>
      </c>
      <c r="C29" s="19" t="s">
        <v>92</v>
      </c>
      <c r="D29" s="24">
        <v>45330</v>
      </c>
      <c r="E29" s="19">
        <v>60</v>
      </c>
    </row>
    <row r="30" spans="1:5" ht="15.75" customHeight="1" x14ac:dyDescent="0.25">
      <c r="A30" s="21">
        <v>5026</v>
      </c>
      <c r="B30" s="22">
        <v>1001</v>
      </c>
      <c r="C30" s="22" t="s">
        <v>89</v>
      </c>
      <c r="D30" s="25">
        <v>45331</v>
      </c>
      <c r="E30" s="22">
        <v>45</v>
      </c>
    </row>
    <row r="31" spans="1:5" ht="15.75" customHeight="1" x14ac:dyDescent="0.25">
      <c r="A31" s="18">
        <v>5027</v>
      </c>
      <c r="B31" s="19">
        <v>1014</v>
      </c>
      <c r="C31" s="19" t="s">
        <v>91</v>
      </c>
      <c r="D31" s="24">
        <v>45331</v>
      </c>
      <c r="E31" s="19">
        <v>30</v>
      </c>
    </row>
    <row r="32" spans="1:5" ht="15.75" customHeight="1" x14ac:dyDescent="0.25">
      <c r="A32" s="21">
        <v>5028</v>
      </c>
      <c r="B32" s="22">
        <v>1006</v>
      </c>
      <c r="C32" s="22" t="s">
        <v>93</v>
      </c>
      <c r="D32" s="25">
        <v>45334</v>
      </c>
      <c r="E32" s="22">
        <v>40</v>
      </c>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4:E32" xr:uid="{00000000-0009-0000-0000-000003000000}"/>
  <mergeCells count="2">
    <mergeCell ref="A1:E1"/>
    <mergeCell ref="A2:E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J997"/>
  <sheetViews>
    <sheetView showGridLines="0" zoomScaleNormal="100" workbookViewId="0">
      <selection activeCell="F15" sqref="F15"/>
    </sheetView>
  </sheetViews>
  <sheetFormatPr defaultColWidth="14.42578125" defaultRowHeight="15" x14ac:dyDescent="0.25"/>
  <cols>
    <col min="1" max="1" width="3" customWidth="1"/>
    <col min="2" max="2" width="30" customWidth="1"/>
    <col min="3" max="5" width="14" customWidth="1"/>
    <col min="6" max="6" width="16" customWidth="1"/>
    <col min="7" max="8" width="14" customWidth="1"/>
    <col min="9" max="9" width="1.5703125" customWidth="1"/>
    <col min="10" max="10" width="52" customWidth="1"/>
  </cols>
  <sheetData>
    <row r="1" spans="1:10" ht="30" customHeight="1" x14ac:dyDescent="0.25">
      <c r="A1" s="10" t="s">
        <v>94</v>
      </c>
      <c r="B1" s="10"/>
      <c r="C1" s="10"/>
      <c r="D1" s="10"/>
      <c r="E1" s="10"/>
      <c r="F1" s="10"/>
      <c r="G1" s="10"/>
      <c r="H1" s="10"/>
    </row>
    <row r="2" spans="1:10" ht="21.75" customHeight="1" x14ac:dyDescent="0.25">
      <c r="A2" s="9" t="s">
        <v>95</v>
      </c>
      <c r="B2" s="9"/>
      <c r="C2" s="9"/>
      <c r="D2" s="9"/>
      <c r="E2" s="9"/>
      <c r="F2" s="9"/>
      <c r="G2" s="9"/>
      <c r="H2" s="9"/>
    </row>
    <row r="4" spans="1:10" ht="39.75" customHeight="1" x14ac:dyDescent="0.25">
      <c r="A4" s="8" t="s">
        <v>96</v>
      </c>
      <c r="B4" s="8"/>
      <c r="C4" s="8"/>
      <c r="D4" s="8"/>
      <c r="E4" s="8"/>
      <c r="F4" s="8"/>
      <c r="G4" s="8"/>
      <c r="H4" s="8"/>
    </row>
    <row r="6" spans="1:10" ht="24" customHeight="1" x14ac:dyDescent="0.25">
      <c r="A6" s="7" t="s">
        <v>97</v>
      </c>
      <c r="B6" s="7"/>
      <c r="C6" s="7"/>
      <c r="D6" s="7"/>
      <c r="E6" s="7"/>
      <c r="F6" s="7"/>
      <c r="G6" s="7"/>
      <c r="H6" s="7"/>
    </row>
    <row r="7" spans="1:10" ht="18" customHeight="1" x14ac:dyDescent="0.25">
      <c r="B7" s="8" t="s">
        <v>98</v>
      </c>
      <c r="C7" s="8"/>
      <c r="D7" s="8"/>
      <c r="E7" s="8"/>
      <c r="F7" s="8"/>
      <c r="G7" s="8"/>
      <c r="H7" s="8"/>
    </row>
    <row r="8" spans="1:10" ht="18" customHeight="1" x14ac:dyDescent="0.25">
      <c r="B8" s="8" t="s">
        <v>99</v>
      </c>
      <c r="C8" s="8"/>
      <c r="D8" s="8"/>
      <c r="E8" s="8"/>
      <c r="F8" s="8"/>
      <c r="G8" s="8"/>
      <c r="H8" s="8"/>
    </row>
    <row r="9" spans="1:10" ht="18" customHeight="1" x14ac:dyDescent="0.25">
      <c r="B9" s="8" t="s">
        <v>100</v>
      </c>
      <c r="C9" s="8"/>
      <c r="D9" s="8"/>
      <c r="E9" s="8"/>
      <c r="F9" s="8"/>
      <c r="G9" s="8"/>
      <c r="H9" s="8"/>
    </row>
    <row r="10" spans="1:10" ht="18" customHeight="1" x14ac:dyDescent="0.25">
      <c r="B10" s="8" t="s">
        <v>101</v>
      </c>
      <c r="C10" s="8"/>
      <c r="D10" s="8"/>
      <c r="E10" s="8"/>
      <c r="F10" s="8"/>
      <c r="G10" s="8"/>
      <c r="H10" s="8"/>
    </row>
    <row r="13" spans="1:10" ht="24" customHeight="1" x14ac:dyDescent="0.25">
      <c r="A13" s="7" t="s">
        <v>102</v>
      </c>
      <c r="B13" s="7"/>
      <c r="C13" s="7"/>
      <c r="D13" s="7"/>
      <c r="E13" s="7"/>
      <c r="F13" s="7"/>
      <c r="G13" s="7"/>
      <c r="H13" s="7"/>
    </row>
    <row r="14" spans="1:10" ht="18" customHeight="1" x14ac:dyDescent="0.25">
      <c r="B14" s="3" t="s">
        <v>103</v>
      </c>
      <c r="C14" s="3"/>
      <c r="D14" s="3"/>
      <c r="E14" s="3"/>
      <c r="F14" s="26" t="s">
        <v>104</v>
      </c>
      <c r="G14" s="26" t="s">
        <v>105</v>
      </c>
      <c r="J14" s="27" t="s">
        <v>106</v>
      </c>
    </row>
    <row r="15" spans="1:10" ht="30" customHeight="1" x14ac:dyDescent="0.25">
      <c r="B15" s="4" t="s">
        <v>107</v>
      </c>
      <c r="C15" s="4"/>
      <c r="D15" s="4"/>
      <c r="E15" s="4"/>
      <c r="F15" s="31"/>
      <c r="G15" s="28" t="str">
        <f>IF(F15="","",IFERROR(IF(ABS(F15-(11))&lt;0.01,"✓  Correct","✗  Try again"),"✗  Try again"))</f>
        <v/>
      </c>
      <c r="J15" s="2" t="s">
        <v>108</v>
      </c>
    </row>
    <row r="16" spans="1:10" ht="30" customHeight="1" x14ac:dyDescent="0.25">
      <c r="B16" s="4" t="s">
        <v>109</v>
      </c>
      <c r="C16" s="4"/>
      <c r="D16" s="4"/>
      <c r="E16" s="4"/>
      <c r="F16" s="31"/>
      <c r="G16" s="28" t="str">
        <f>IF(F16="","",IFERROR(IF(ABS(F16-(23))&lt;0.01,"✓  Correct","✗  Try again"),"✗  Try again"))</f>
        <v/>
      </c>
      <c r="J16" s="2"/>
    </row>
    <row r="18" spans="1:8" ht="33.75" customHeight="1" x14ac:dyDescent="0.25">
      <c r="A18" s="1" t="s">
        <v>110</v>
      </c>
      <c r="B18" s="1"/>
      <c r="C18" s="1"/>
      <c r="D18" s="1"/>
      <c r="E18" s="1"/>
      <c r="F18" s="1"/>
      <c r="G18" s="1"/>
      <c r="H18" s="1"/>
    </row>
    <row r="19" spans="1:8" ht="15.75" customHeight="1" x14ac:dyDescent="0.25"/>
    <row r="20" spans="1:8" ht="15.75" customHeight="1" x14ac:dyDescent="0.25"/>
    <row r="21" spans="1:8" ht="15.75" customHeight="1" x14ac:dyDescent="0.25"/>
    <row r="22" spans="1:8" ht="15.75" customHeight="1" x14ac:dyDescent="0.25"/>
    <row r="23" spans="1:8" ht="15.75" customHeight="1" x14ac:dyDescent="0.25"/>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sheetProtection sheet="1" objects="1" scenarios="1" selectLockedCells="1"/>
  <mergeCells count="14">
    <mergeCell ref="B14:E14"/>
    <mergeCell ref="B15:E15"/>
    <mergeCell ref="J15:J16"/>
    <mergeCell ref="B16:E16"/>
    <mergeCell ref="A18:H18"/>
    <mergeCell ref="B8:H8"/>
    <mergeCell ref="B9:H9"/>
    <mergeCell ref="B10:H10"/>
    <mergeCell ref="A13:H13"/>
    <mergeCell ref="A1:H1"/>
    <mergeCell ref="A2:H2"/>
    <mergeCell ref="A4:H4"/>
    <mergeCell ref="A6:H6"/>
    <mergeCell ref="B7:H7"/>
  </mergeCells>
  <conditionalFormatting sqref="G15:G16">
    <cfRule type="expression" dxfId="11" priority="2">
      <formula>ISNUMBER(SEARCH("Correct",G15))</formula>
    </cfRule>
    <cfRule type="expression" dxfId="10" priority="3">
      <formula>ISNUMBER(SEARCH("Try",G15))</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J997"/>
  <sheetViews>
    <sheetView showGridLines="0" zoomScaleNormal="100" workbookViewId="0">
      <selection activeCell="F16" sqref="F16:F17"/>
    </sheetView>
  </sheetViews>
  <sheetFormatPr defaultColWidth="14.42578125" defaultRowHeight="15" x14ac:dyDescent="0.25"/>
  <cols>
    <col min="1" max="1" width="3" customWidth="1"/>
    <col min="2" max="2" width="30" customWidth="1"/>
    <col min="3" max="5" width="14" customWidth="1"/>
    <col min="6" max="6" width="16" customWidth="1"/>
    <col min="7" max="8" width="14" customWidth="1"/>
    <col min="9" max="9" width="1.5703125" customWidth="1"/>
    <col min="10" max="10" width="52" customWidth="1"/>
  </cols>
  <sheetData>
    <row r="1" spans="1:10" ht="30" customHeight="1" x14ac:dyDescent="0.25">
      <c r="A1" s="10" t="s">
        <v>111</v>
      </c>
      <c r="B1" s="10"/>
      <c r="C1" s="10"/>
      <c r="D1" s="10"/>
      <c r="E1" s="10"/>
      <c r="F1" s="10"/>
      <c r="G1" s="10"/>
      <c r="H1" s="10"/>
    </row>
    <row r="2" spans="1:10" ht="21.75" customHeight="1" x14ac:dyDescent="0.25">
      <c r="A2" s="9" t="s">
        <v>112</v>
      </c>
      <c r="B2" s="9"/>
      <c r="C2" s="9"/>
      <c r="D2" s="9"/>
      <c r="E2" s="9"/>
      <c r="F2" s="9"/>
      <c r="G2" s="9"/>
      <c r="H2" s="9"/>
    </row>
    <row r="4" spans="1:10" ht="39.75" customHeight="1" x14ac:dyDescent="0.25">
      <c r="A4" s="8" t="s">
        <v>113</v>
      </c>
      <c r="B4" s="8"/>
      <c r="C4" s="8"/>
      <c r="D4" s="8"/>
      <c r="E4" s="8"/>
      <c r="F4" s="8"/>
      <c r="G4" s="8"/>
      <c r="H4" s="8"/>
    </row>
    <row r="6" spans="1:10" ht="24" customHeight="1" x14ac:dyDescent="0.25">
      <c r="A6" s="7" t="s">
        <v>97</v>
      </c>
      <c r="B6" s="7"/>
      <c r="C6" s="7"/>
      <c r="D6" s="7"/>
      <c r="E6" s="7"/>
      <c r="F6" s="7"/>
      <c r="G6" s="7"/>
      <c r="H6" s="7"/>
    </row>
    <row r="7" spans="1:10" ht="18" customHeight="1" x14ac:dyDescent="0.25">
      <c r="B7" s="8" t="s">
        <v>114</v>
      </c>
      <c r="C7" s="8"/>
      <c r="D7" s="8"/>
      <c r="E7" s="8"/>
      <c r="F7" s="8"/>
      <c r="G7" s="8"/>
      <c r="H7" s="8"/>
    </row>
    <row r="8" spans="1:10" ht="18" customHeight="1" x14ac:dyDescent="0.25">
      <c r="B8" s="8" t="s">
        <v>115</v>
      </c>
      <c r="C8" s="8"/>
      <c r="D8" s="8"/>
      <c r="E8" s="8"/>
      <c r="F8" s="8"/>
      <c r="G8" s="8"/>
      <c r="H8" s="8"/>
    </row>
    <row r="9" spans="1:10" ht="31.5" customHeight="1" x14ac:dyDescent="0.25">
      <c r="B9" s="8" t="s">
        <v>116</v>
      </c>
      <c r="C9" s="8"/>
      <c r="D9" s="8"/>
      <c r="E9" s="8"/>
      <c r="F9" s="8"/>
      <c r="G9" s="8"/>
      <c r="H9" s="8"/>
    </row>
    <row r="10" spans="1:10" ht="18" customHeight="1" x14ac:dyDescent="0.25">
      <c r="B10" s="8" t="s">
        <v>117</v>
      </c>
      <c r="C10" s="8"/>
      <c r="D10" s="8"/>
      <c r="E10" s="8"/>
      <c r="F10" s="8"/>
      <c r="G10" s="8"/>
      <c r="H10" s="8"/>
    </row>
    <row r="11" spans="1:10" ht="18" customHeight="1" x14ac:dyDescent="0.25">
      <c r="B11" s="8" t="s">
        <v>118</v>
      </c>
      <c r="C11" s="8"/>
      <c r="D11" s="8"/>
      <c r="E11" s="8"/>
      <c r="F11" s="8"/>
      <c r="G11" s="8"/>
      <c r="H11" s="8"/>
    </row>
    <row r="14" spans="1:10" ht="24" customHeight="1" x14ac:dyDescent="0.25">
      <c r="A14" s="7" t="s">
        <v>102</v>
      </c>
      <c r="B14" s="7"/>
      <c r="C14" s="7"/>
      <c r="D14" s="7"/>
      <c r="E14" s="7"/>
      <c r="F14" s="7"/>
      <c r="G14" s="7"/>
      <c r="H14" s="7"/>
    </row>
    <row r="15" spans="1:10" ht="18" customHeight="1" x14ac:dyDescent="0.25">
      <c r="B15" s="3" t="s">
        <v>103</v>
      </c>
      <c r="C15" s="3"/>
      <c r="D15" s="3"/>
      <c r="E15" s="3"/>
      <c r="F15" s="26" t="s">
        <v>104</v>
      </c>
      <c r="G15" s="26" t="s">
        <v>105</v>
      </c>
      <c r="J15" s="27" t="s">
        <v>106</v>
      </c>
    </row>
    <row r="16" spans="1:10" ht="30" customHeight="1" x14ac:dyDescent="0.25">
      <c r="B16" s="4" t="s">
        <v>119</v>
      </c>
      <c r="C16" s="4"/>
      <c r="D16" s="4"/>
      <c r="E16" s="4"/>
      <c r="F16" s="31"/>
      <c r="G16" s="28" t="str">
        <f>IF(F16="","",IFERROR(IF(ABS(F16-(375))&lt;0.01,"✓  Correct","✗  Try again"),"✗  Try again"))</f>
        <v/>
      </c>
      <c r="J16" s="2" t="s">
        <v>120</v>
      </c>
    </row>
    <row r="17" spans="1:10" ht="30" customHeight="1" x14ac:dyDescent="0.25">
      <c r="B17" s="4" t="s">
        <v>121</v>
      </c>
      <c r="C17" s="4"/>
      <c r="D17" s="4"/>
      <c r="E17" s="4"/>
      <c r="F17" s="31"/>
      <c r="G17" s="28" t="str">
        <f>IF(F17="","",IFERROR(IF(ABS(F17-(64.25))&lt;0.01,"✓  Correct","✗  Try again"),"✗  Try again"))</f>
        <v/>
      </c>
      <c r="J17" s="2"/>
    </row>
    <row r="18" spans="1:10" ht="15.75" customHeight="1" x14ac:dyDescent="0.25"/>
    <row r="19" spans="1:10" ht="33.75" customHeight="1" x14ac:dyDescent="0.25">
      <c r="A19" s="1" t="s">
        <v>122</v>
      </c>
      <c r="B19" s="1"/>
      <c r="C19" s="1"/>
      <c r="D19" s="1"/>
      <c r="E19" s="1"/>
      <c r="F19" s="1"/>
      <c r="G19" s="1"/>
      <c r="H19" s="1"/>
    </row>
    <row r="20" spans="1:10" ht="15.75" customHeight="1" x14ac:dyDescent="0.25"/>
    <row r="21" spans="1:10" ht="15.75" customHeight="1" x14ac:dyDescent="0.25"/>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sheetProtection sheet="1" objects="1" scenarios="1" selectLockedCells="1"/>
  <mergeCells count="15">
    <mergeCell ref="A19:H19"/>
    <mergeCell ref="A14:H14"/>
    <mergeCell ref="B15:E15"/>
    <mergeCell ref="B16:E16"/>
    <mergeCell ref="J16:J17"/>
    <mergeCell ref="B17:E17"/>
    <mergeCell ref="B8:H8"/>
    <mergeCell ref="B9:H9"/>
    <mergeCell ref="B10:H10"/>
    <mergeCell ref="B11:H11"/>
    <mergeCell ref="A1:H1"/>
    <mergeCell ref="A2:H2"/>
    <mergeCell ref="A4:H4"/>
    <mergeCell ref="A6:H6"/>
    <mergeCell ref="B7:H7"/>
  </mergeCells>
  <conditionalFormatting sqref="G16:G17">
    <cfRule type="expression" dxfId="9" priority="2">
      <formula>ISNUMBER(SEARCH("Correct",G16))</formula>
    </cfRule>
    <cfRule type="expression" dxfId="8" priority="3">
      <formula>ISNUMBER(SEARCH("Try",G16))</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J997"/>
  <sheetViews>
    <sheetView showGridLines="0" zoomScaleNormal="100" workbookViewId="0">
      <selection activeCell="F16" sqref="F16"/>
    </sheetView>
  </sheetViews>
  <sheetFormatPr defaultColWidth="14.42578125" defaultRowHeight="15" x14ac:dyDescent="0.25"/>
  <cols>
    <col min="1" max="1" width="3" customWidth="1"/>
    <col min="2" max="2" width="30" customWidth="1"/>
    <col min="3" max="5" width="14" customWidth="1"/>
    <col min="6" max="6" width="16" customWidth="1"/>
    <col min="7" max="8" width="14" customWidth="1"/>
    <col min="9" max="9" width="1.5703125" customWidth="1"/>
    <col min="10" max="10" width="52" customWidth="1"/>
  </cols>
  <sheetData>
    <row r="1" spans="1:10" ht="30" customHeight="1" x14ac:dyDescent="0.25">
      <c r="A1" s="10" t="s">
        <v>123</v>
      </c>
      <c r="B1" s="10"/>
      <c r="C1" s="10"/>
      <c r="D1" s="10"/>
      <c r="E1" s="10"/>
      <c r="F1" s="10"/>
      <c r="G1" s="10"/>
      <c r="H1" s="10"/>
    </row>
    <row r="2" spans="1:10" ht="21.75" customHeight="1" x14ac:dyDescent="0.25">
      <c r="A2" s="9" t="s">
        <v>124</v>
      </c>
      <c r="B2" s="9"/>
      <c r="C2" s="9"/>
      <c r="D2" s="9"/>
      <c r="E2" s="9"/>
      <c r="F2" s="9"/>
      <c r="G2" s="9"/>
      <c r="H2" s="9"/>
    </row>
    <row r="4" spans="1:10" ht="39.75" customHeight="1" x14ac:dyDescent="0.25">
      <c r="A4" s="8" t="s">
        <v>125</v>
      </c>
      <c r="B4" s="8"/>
      <c r="C4" s="8"/>
      <c r="D4" s="8"/>
      <c r="E4" s="8"/>
      <c r="F4" s="8"/>
      <c r="G4" s="8"/>
      <c r="H4" s="8"/>
    </row>
    <row r="6" spans="1:10" ht="24" customHeight="1" x14ac:dyDescent="0.25">
      <c r="A6" s="7" t="s">
        <v>97</v>
      </c>
      <c r="B6" s="7"/>
      <c r="C6" s="7"/>
      <c r="D6" s="7"/>
      <c r="E6" s="7"/>
      <c r="F6" s="7"/>
      <c r="G6" s="7"/>
      <c r="H6" s="7"/>
    </row>
    <row r="7" spans="1:10" ht="18" customHeight="1" x14ac:dyDescent="0.25">
      <c r="B7" s="8" t="s">
        <v>126</v>
      </c>
      <c r="C7" s="8"/>
      <c r="D7" s="8"/>
      <c r="E7" s="8"/>
      <c r="F7" s="8"/>
      <c r="G7" s="8"/>
      <c r="H7" s="8"/>
    </row>
    <row r="8" spans="1:10" ht="18" customHeight="1" x14ac:dyDescent="0.25">
      <c r="B8" s="8" t="s">
        <v>127</v>
      </c>
      <c r="C8" s="8"/>
      <c r="D8" s="8"/>
      <c r="E8" s="8"/>
      <c r="F8" s="8"/>
      <c r="G8" s="8"/>
      <c r="H8" s="8"/>
    </row>
    <row r="9" spans="1:10" ht="18" customHeight="1" x14ac:dyDescent="0.25">
      <c r="B9" s="8" t="s">
        <v>128</v>
      </c>
      <c r="C9" s="8"/>
      <c r="D9" s="8"/>
      <c r="E9" s="8"/>
      <c r="F9" s="8"/>
      <c r="G9" s="8"/>
      <c r="H9" s="8"/>
    </row>
    <row r="10" spans="1:10" ht="18" customHeight="1" x14ac:dyDescent="0.25">
      <c r="B10" s="8" t="s">
        <v>129</v>
      </c>
      <c r="C10" s="8"/>
      <c r="D10" s="8"/>
      <c r="E10" s="8"/>
      <c r="F10" s="8"/>
      <c r="G10" s="8"/>
      <c r="H10" s="8"/>
    </row>
    <row r="11" spans="1:10" ht="18" customHeight="1" x14ac:dyDescent="0.25">
      <c r="B11" s="8" t="s">
        <v>130</v>
      </c>
      <c r="C11" s="8"/>
      <c r="D11" s="8"/>
      <c r="E11" s="8"/>
      <c r="F11" s="8"/>
      <c r="G11" s="8"/>
      <c r="H11" s="8"/>
    </row>
    <row r="14" spans="1:10" ht="24" customHeight="1" x14ac:dyDescent="0.25">
      <c r="A14" s="7" t="s">
        <v>102</v>
      </c>
      <c r="B14" s="7"/>
      <c r="C14" s="7"/>
      <c r="D14" s="7"/>
      <c r="E14" s="7"/>
      <c r="F14" s="7"/>
      <c r="G14" s="7"/>
      <c r="H14" s="7"/>
    </row>
    <row r="15" spans="1:10" ht="18" customHeight="1" x14ac:dyDescent="0.25">
      <c r="B15" s="3" t="s">
        <v>103</v>
      </c>
      <c r="C15" s="3"/>
      <c r="D15" s="3"/>
      <c r="E15" s="3"/>
      <c r="F15" s="26" t="s">
        <v>104</v>
      </c>
      <c r="G15" s="26" t="s">
        <v>105</v>
      </c>
      <c r="J15" s="27" t="s">
        <v>106</v>
      </c>
    </row>
    <row r="16" spans="1:10" ht="30" customHeight="1" x14ac:dyDescent="0.25">
      <c r="B16" s="4" t="s">
        <v>131</v>
      </c>
      <c r="C16" s="4"/>
      <c r="D16" s="4"/>
      <c r="E16" s="4"/>
      <c r="F16" s="31"/>
      <c r="G16" s="28" t="str">
        <f>IF(F16="","",IFERROR(IF(ABS(F16-(7))&lt;0.01,"✓  Correct","✗  Try again"),"✗  Try again"))</f>
        <v/>
      </c>
      <c r="J16" s="2" t="s">
        <v>132</v>
      </c>
    </row>
    <row r="17" spans="1:10" ht="30" customHeight="1" x14ac:dyDescent="0.25">
      <c r="B17" s="4" t="s">
        <v>133</v>
      </c>
      <c r="C17" s="4"/>
      <c r="D17" s="4"/>
      <c r="E17" s="4"/>
      <c r="F17" s="31"/>
      <c r="G17" s="28" t="str">
        <f>IF(F17="","",IFERROR(IF(ABS(F17-(23))&lt;0.01,"✓  Correct","✗  Try again"),"✗  Try again"))</f>
        <v/>
      </c>
      <c r="J17" s="2"/>
    </row>
    <row r="18" spans="1:10" ht="15.75" customHeight="1" x14ac:dyDescent="0.25"/>
    <row r="19" spans="1:10" ht="33.75" customHeight="1" x14ac:dyDescent="0.25">
      <c r="A19" s="1" t="s">
        <v>134</v>
      </c>
      <c r="B19" s="1"/>
      <c r="C19" s="1"/>
      <c r="D19" s="1"/>
      <c r="E19" s="1"/>
      <c r="F19" s="1"/>
      <c r="G19" s="1"/>
      <c r="H19" s="1"/>
    </row>
    <row r="20" spans="1:10" ht="15.75" customHeight="1" x14ac:dyDescent="0.25"/>
    <row r="21" spans="1:10" ht="15.75" customHeight="1" x14ac:dyDescent="0.25"/>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sheetProtection sheet="1" objects="1" scenarios="1" selectLockedCells="1"/>
  <mergeCells count="15">
    <mergeCell ref="A19:H19"/>
    <mergeCell ref="A14:H14"/>
    <mergeCell ref="B15:E15"/>
    <mergeCell ref="B16:E16"/>
    <mergeCell ref="J16:J17"/>
    <mergeCell ref="B17:E17"/>
    <mergeCell ref="B8:H8"/>
    <mergeCell ref="B9:H9"/>
    <mergeCell ref="B10:H10"/>
    <mergeCell ref="B11:H11"/>
    <mergeCell ref="A1:H1"/>
    <mergeCell ref="A2:H2"/>
    <mergeCell ref="A4:H4"/>
    <mergeCell ref="A6:H6"/>
    <mergeCell ref="B7:H7"/>
  </mergeCells>
  <conditionalFormatting sqref="G16:G17">
    <cfRule type="expression" dxfId="7" priority="2">
      <formula>ISNUMBER(SEARCH("Correct",G16))</formula>
    </cfRule>
    <cfRule type="expression" dxfId="6" priority="3">
      <formula>ISNUMBER(SEARCH("Try",G16))</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sheetPr>
  <dimension ref="A1:J997"/>
  <sheetViews>
    <sheetView showGridLines="0" zoomScaleNormal="100" workbookViewId="0">
      <selection activeCell="F15" sqref="F15"/>
    </sheetView>
  </sheetViews>
  <sheetFormatPr defaultColWidth="14.42578125" defaultRowHeight="15" x14ac:dyDescent="0.25"/>
  <cols>
    <col min="1" max="1" width="3" customWidth="1"/>
    <col min="2" max="2" width="30" customWidth="1"/>
    <col min="3" max="5" width="14" customWidth="1"/>
    <col min="6" max="6" width="16" customWidth="1"/>
    <col min="7" max="8" width="14" customWidth="1"/>
    <col min="9" max="9" width="1.5703125" customWidth="1"/>
    <col min="10" max="10" width="52" customWidth="1"/>
  </cols>
  <sheetData>
    <row r="1" spans="1:10" ht="30" customHeight="1" x14ac:dyDescent="0.25">
      <c r="A1" s="10" t="s">
        <v>135</v>
      </c>
      <c r="B1" s="10"/>
      <c r="C1" s="10"/>
      <c r="D1" s="10"/>
      <c r="E1" s="10"/>
      <c r="F1" s="10"/>
      <c r="G1" s="10"/>
      <c r="H1" s="10"/>
    </row>
    <row r="2" spans="1:10" ht="21.75" customHeight="1" x14ac:dyDescent="0.25">
      <c r="A2" s="9" t="s">
        <v>136</v>
      </c>
      <c r="B2" s="9"/>
      <c r="C2" s="9"/>
      <c r="D2" s="9"/>
      <c r="E2" s="9"/>
      <c r="F2" s="9"/>
      <c r="G2" s="9"/>
      <c r="H2" s="9"/>
    </row>
    <row r="4" spans="1:10" ht="39.75" customHeight="1" x14ac:dyDescent="0.25">
      <c r="A4" s="8" t="s">
        <v>137</v>
      </c>
      <c r="B4" s="8"/>
      <c r="C4" s="8"/>
      <c r="D4" s="8"/>
      <c r="E4" s="8"/>
      <c r="F4" s="8"/>
      <c r="G4" s="8"/>
      <c r="H4" s="8"/>
    </row>
    <row r="6" spans="1:10" ht="24" customHeight="1" x14ac:dyDescent="0.25">
      <c r="A6" s="7" t="s">
        <v>97</v>
      </c>
      <c r="B6" s="7"/>
      <c r="C6" s="7"/>
      <c r="D6" s="7"/>
      <c r="E6" s="7"/>
      <c r="F6" s="7"/>
      <c r="G6" s="7"/>
      <c r="H6" s="7"/>
    </row>
    <row r="7" spans="1:10" ht="18" customHeight="1" x14ac:dyDescent="0.25">
      <c r="B7" s="8" t="s">
        <v>138</v>
      </c>
      <c r="C7" s="8"/>
      <c r="D7" s="8"/>
      <c r="E7" s="8"/>
      <c r="F7" s="8"/>
      <c r="G7" s="8"/>
      <c r="H7" s="8"/>
    </row>
    <row r="8" spans="1:10" ht="31.5" customHeight="1" x14ac:dyDescent="0.25">
      <c r="B8" s="8" t="s">
        <v>139</v>
      </c>
      <c r="C8" s="8"/>
      <c r="D8" s="8"/>
      <c r="E8" s="8"/>
      <c r="F8" s="8"/>
      <c r="G8" s="8"/>
      <c r="H8" s="8"/>
    </row>
    <row r="9" spans="1:10" ht="31.5" customHeight="1" x14ac:dyDescent="0.25">
      <c r="B9" s="8" t="s">
        <v>140</v>
      </c>
      <c r="C9" s="8"/>
      <c r="D9" s="8"/>
      <c r="E9" s="8"/>
      <c r="F9" s="8"/>
      <c r="G9" s="8"/>
      <c r="H9" s="8"/>
    </row>
    <row r="10" spans="1:10" ht="31.5" customHeight="1" x14ac:dyDescent="0.25">
      <c r="B10" s="8" t="s">
        <v>141</v>
      </c>
      <c r="C10" s="8"/>
      <c r="D10" s="8"/>
      <c r="E10" s="8"/>
      <c r="F10" s="8"/>
      <c r="G10" s="8"/>
      <c r="H10" s="8"/>
    </row>
    <row r="13" spans="1:10" ht="24" customHeight="1" x14ac:dyDescent="0.25">
      <c r="A13" s="7" t="s">
        <v>102</v>
      </c>
      <c r="B13" s="7"/>
      <c r="C13" s="7"/>
      <c r="D13" s="7"/>
      <c r="E13" s="7"/>
      <c r="F13" s="7"/>
      <c r="G13" s="7"/>
      <c r="H13" s="7"/>
    </row>
    <row r="14" spans="1:10" ht="18" customHeight="1" x14ac:dyDescent="0.25">
      <c r="B14" s="3" t="s">
        <v>103</v>
      </c>
      <c r="C14" s="3"/>
      <c r="D14" s="3"/>
      <c r="E14" s="3"/>
      <c r="F14" s="26" t="s">
        <v>104</v>
      </c>
      <c r="G14" s="26" t="s">
        <v>105</v>
      </c>
      <c r="J14" s="27" t="s">
        <v>106</v>
      </c>
    </row>
    <row r="15" spans="1:10" ht="30" customHeight="1" x14ac:dyDescent="0.25">
      <c r="B15" s="4" t="s">
        <v>142</v>
      </c>
      <c r="C15" s="4"/>
      <c r="D15" s="4"/>
      <c r="E15" s="4"/>
      <c r="F15" s="31"/>
      <c r="G15" s="28" t="str">
        <f>IF(F15="","",IFERROR(IF(ABS(F15-(8))&lt;0.01,"✓  Correct","✗  Try again"),"✗  Try again"))</f>
        <v/>
      </c>
      <c r="J15" s="2" t="s">
        <v>143</v>
      </c>
    </row>
    <row r="16" spans="1:10" ht="30" customHeight="1" x14ac:dyDescent="0.25">
      <c r="B16" s="4" t="s">
        <v>144</v>
      </c>
      <c r="C16" s="4"/>
      <c r="D16" s="4"/>
      <c r="E16" s="4"/>
      <c r="F16" s="31"/>
      <c r="G16" s="28" t="str">
        <f>IF(F16="","",IFERROR(IF(ABS(F16-(514))&lt;0.01,"✓  Correct","✗  Try again"),"✗  Try again"))</f>
        <v/>
      </c>
      <c r="J16" s="2"/>
    </row>
    <row r="18" spans="1:8" ht="33.75" customHeight="1" x14ac:dyDescent="0.25">
      <c r="A18" s="1" t="s">
        <v>145</v>
      </c>
      <c r="B18" s="1"/>
      <c r="C18" s="1"/>
      <c r="D18" s="1"/>
      <c r="E18" s="1"/>
      <c r="F18" s="1"/>
      <c r="G18" s="1"/>
      <c r="H18" s="1"/>
    </row>
    <row r="19" spans="1:8" ht="15.75" customHeight="1" x14ac:dyDescent="0.25"/>
    <row r="20" spans="1:8" ht="15.75" customHeight="1" x14ac:dyDescent="0.25"/>
    <row r="21" spans="1:8" ht="15.75" customHeight="1" x14ac:dyDescent="0.25"/>
    <row r="22" spans="1:8" ht="15.75" customHeight="1" x14ac:dyDescent="0.25"/>
    <row r="23" spans="1:8" ht="15.75" customHeight="1" x14ac:dyDescent="0.25"/>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sheetProtection sheet="1" objects="1" scenarios="1" selectLockedCells="1"/>
  <mergeCells count="14">
    <mergeCell ref="B14:E14"/>
    <mergeCell ref="B15:E15"/>
    <mergeCell ref="J15:J16"/>
    <mergeCell ref="B16:E16"/>
    <mergeCell ref="A18:H18"/>
    <mergeCell ref="B8:H8"/>
    <mergeCell ref="B9:H9"/>
    <mergeCell ref="B10:H10"/>
    <mergeCell ref="A13:H13"/>
    <mergeCell ref="A1:H1"/>
    <mergeCell ref="A2:H2"/>
    <mergeCell ref="A4:H4"/>
    <mergeCell ref="A6:H6"/>
    <mergeCell ref="B7:H7"/>
  </mergeCells>
  <conditionalFormatting sqref="G15:G16">
    <cfRule type="expression" dxfId="5" priority="2">
      <formula>ISNUMBER(SEARCH("Correct",G15))</formula>
    </cfRule>
    <cfRule type="expression" dxfId="4" priority="3">
      <formula>ISNUMBER(SEARCH("Try",G15))</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J997"/>
  <sheetViews>
    <sheetView showGridLines="0" zoomScaleNormal="100" workbookViewId="0">
      <selection activeCell="F15" sqref="F15:F16"/>
    </sheetView>
  </sheetViews>
  <sheetFormatPr defaultColWidth="14.42578125" defaultRowHeight="15" x14ac:dyDescent="0.25"/>
  <cols>
    <col min="1" max="1" width="3" customWidth="1"/>
    <col min="2" max="2" width="30" customWidth="1"/>
    <col min="3" max="5" width="14" customWidth="1"/>
    <col min="6" max="6" width="16" customWidth="1"/>
    <col min="7" max="8" width="14" customWidth="1"/>
    <col min="9" max="9" width="1.5703125" customWidth="1"/>
    <col min="10" max="10" width="52" customWidth="1"/>
  </cols>
  <sheetData>
    <row r="1" spans="1:10" ht="30" customHeight="1" x14ac:dyDescent="0.25">
      <c r="A1" s="10" t="s">
        <v>146</v>
      </c>
      <c r="B1" s="10"/>
      <c r="C1" s="10"/>
      <c r="D1" s="10"/>
      <c r="E1" s="10"/>
      <c r="F1" s="10"/>
      <c r="G1" s="10"/>
      <c r="H1" s="10"/>
    </row>
    <row r="2" spans="1:10" ht="21.75" customHeight="1" x14ac:dyDescent="0.25">
      <c r="A2" s="9" t="s">
        <v>147</v>
      </c>
      <c r="B2" s="9"/>
      <c r="C2" s="9"/>
      <c r="D2" s="9"/>
      <c r="E2" s="9"/>
      <c r="F2" s="9"/>
      <c r="G2" s="9"/>
      <c r="H2" s="9"/>
    </row>
    <row r="4" spans="1:10" ht="39.75" customHeight="1" x14ac:dyDescent="0.25">
      <c r="A4" s="8" t="s">
        <v>148</v>
      </c>
      <c r="B4" s="8"/>
      <c r="C4" s="8"/>
      <c r="D4" s="8"/>
      <c r="E4" s="8"/>
      <c r="F4" s="8"/>
      <c r="G4" s="8"/>
      <c r="H4" s="8"/>
    </row>
    <row r="6" spans="1:10" ht="24" customHeight="1" x14ac:dyDescent="0.25">
      <c r="A6" s="7" t="s">
        <v>97</v>
      </c>
      <c r="B6" s="7"/>
      <c r="C6" s="7"/>
      <c r="D6" s="7"/>
      <c r="E6" s="7"/>
      <c r="F6" s="7"/>
      <c r="G6" s="7"/>
      <c r="H6" s="7"/>
    </row>
    <row r="7" spans="1:10" ht="31.5" customHeight="1" x14ac:dyDescent="0.25">
      <c r="B7" s="8" t="s">
        <v>149</v>
      </c>
      <c r="C7" s="8"/>
      <c r="D7" s="8"/>
      <c r="E7" s="8"/>
      <c r="F7" s="8"/>
      <c r="G7" s="8"/>
      <c r="H7" s="8"/>
    </row>
    <row r="8" spans="1:10" ht="31.5" customHeight="1" x14ac:dyDescent="0.25">
      <c r="B8" s="8" t="s">
        <v>150</v>
      </c>
      <c r="C8" s="8"/>
      <c r="D8" s="8"/>
      <c r="E8" s="8"/>
      <c r="F8" s="8"/>
      <c r="G8" s="8"/>
      <c r="H8" s="8"/>
    </row>
    <row r="9" spans="1:10" ht="18" customHeight="1" x14ac:dyDescent="0.25">
      <c r="B9" s="8" t="s">
        <v>151</v>
      </c>
      <c r="C9" s="8"/>
      <c r="D9" s="8"/>
      <c r="E9" s="8"/>
      <c r="F9" s="8"/>
      <c r="G9" s="8"/>
      <c r="H9" s="8"/>
    </row>
    <row r="10" spans="1:10" ht="18" customHeight="1" x14ac:dyDescent="0.25">
      <c r="B10" s="8" t="s">
        <v>152</v>
      </c>
      <c r="C10" s="8"/>
      <c r="D10" s="8"/>
      <c r="E10" s="8"/>
      <c r="F10" s="8"/>
      <c r="G10" s="8"/>
      <c r="H10" s="8"/>
    </row>
    <row r="13" spans="1:10" ht="24" customHeight="1" x14ac:dyDescent="0.25">
      <c r="A13" s="7" t="s">
        <v>102</v>
      </c>
      <c r="B13" s="7"/>
      <c r="C13" s="7"/>
      <c r="D13" s="7"/>
      <c r="E13" s="7"/>
      <c r="F13" s="7"/>
      <c r="G13" s="7"/>
      <c r="H13" s="7"/>
    </row>
    <row r="14" spans="1:10" ht="18" customHeight="1" x14ac:dyDescent="0.25">
      <c r="B14" s="3" t="s">
        <v>103</v>
      </c>
      <c r="C14" s="3"/>
      <c r="D14" s="3"/>
      <c r="E14" s="3"/>
      <c r="F14" s="26" t="s">
        <v>104</v>
      </c>
      <c r="G14" s="26" t="s">
        <v>105</v>
      </c>
      <c r="J14" s="27" t="s">
        <v>106</v>
      </c>
    </row>
    <row r="15" spans="1:10" ht="30" customHeight="1" x14ac:dyDescent="0.25">
      <c r="B15" s="4" t="s">
        <v>153</v>
      </c>
      <c r="C15" s="4"/>
      <c r="D15" s="4"/>
      <c r="E15" s="4"/>
      <c r="F15" s="31"/>
      <c r="G15" s="28" t="str">
        <f>IF(F15="","",IFERROR(IF(ABS(F15-(9))&lt;0.01,"✓  Correct","✗  Try again"),"✗  Try again"))</f>
        <v/>
      </c>
      <c r="J15" s="2" t="s">
        <v>154</v>
      </c>
    </row>
    <row r="16" spans="1:10" ht="30" customHeight="1" x14ac:dyDescent="0.25">
      <c r="B16" s="4" t="s">
        <v>155</v>
      </c>
      <c r="C16" s="4"/>
      <c r="D16" s="4"/>
      <c r="E16" s="4"/>
      <c r="F16" s="31"/>
      <c r="G16" s="28" t="str">
        <f>IF(F16="","",IFERROR(IF(ABS(F16-(28))&lt;0.01,"✓  Correct","✗  Try again"),"✗  Try again"))</f>
        <v/>
      </c>
      <c r="J16" s="2"/>
    </row>
    <row r="18" spans="1:8" ht="33.75" customHeight="1" x14ac:dyDescent="0.25">
      <c r="A18" s="1" t="s">
        <v>156</v>
      </c>
      <c r="B18" s="1"/>
      <c r="C18" s="1"/>
      <c r="D18" s="1"/>
      <c r="E18" s="1"/>
      <c r="F18" s="1"/>
      <c r="G18" s="1"/>
      <c r="H18" s="1"/>
    </row>
    <row r="19" spans="1:8" ht="15.75" customHeight="1" x14ac:dyDescent="0.25"/>
    <row r="20" spans="1:8" ht="15.75" customHeight="1" x14ac:dyDescent="0.25"/>
    <row r="21" spans="1:8" ht="15.75" customHeight="1" x14ac:dyDescent="0.25"/>
    <row r="22" spans="1:8" ht="15.75" customHeight="1" x14ac:dyDescent="0.25"/>
    <row r="23" spans="1:8" ht="15.75" customHeight="1" x14ac:dyDescent="0.25"/>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sheetProtection sheet="1" objects="1" scenarios="1" selectLockedCells="1"/>
  <mergeCells count="14">
    <mergeCell ref="B14:E14"/>
    <mergeCell ref="B15:E15"/>
    <mergeCell ref="J15:J16"/>
    <mergeCell ref="B16:E16"/>
    <mergeCell ref="A18:H18"/>
    <mergeCell ref="B8:H8"/>
    <mergeCell ref="B9:H9"/>
    <mergeCell ref="B10:H10"/>
    <mergeCell ref="A13:H13"/>
    <mergeCell ref="A1:H1"/>
    <mergeCell ref="A2:H2"/>
    <mergeCell ref="A4:H4"/>
    <mergeCell ref="A6:H6"/>
    <mergeCell ref="B7:H7"/>
  </mergeCells>
  <conditionalFormatting sqref="G15:G16">
    <cfRule type="expression" dxfId="3" priority="2">
      <formula>ISNUMBER(SEARCH("Correct",G15))</formula>
    </cfRule>
    <cfRule type="expression" dxfId="2" priority="3">
      <formula>ISNUMBER(SEARCH("Try",G15))</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1000"/>
  <sheetViews>
    <sheetView showGridLines="0" zoomScaleNormal="100" workbookViewId="0">
      <selection sqref="A1:C1"/>
    </sheetView>
  </sheetViews>
  <sheetFormatPr defaultColWidth="14.42578125" defaultRowHeight="15" x14ac:dyDescent="0.25"/>
  <cols>
    <col min="1" max="1" width="3" customWidth="1"/>
    <col min="2" max="2" width="26" customWidth="1"/>
    <col min="3" max="3" width="70" customWidth="1"/>
    <col min="4" max="8" width="8.7109375" customWidth="1"/>
  </cols>
  <sheetData>
    <row r="1" spans="1:3" ht="30" customHeight="1" x14ac:dyDescent="0.25">
      <c r="A1" s="10" t="s">
        <v>157</v>
      </c>
      <c r="B1" s="10"/>
      <c r="C1" s="10"/>
    </row>
    <row r="2" spans="1:3" ht="21.75" customHeight="1" x14ac:dyDescent="0.25">
      <c r="A2" s="9" t="s">
        <v>158</v>
      </c>
      <c r="B2" s="9"/>
      <c r="C2" s="9"/>
    </row>
    <row r="4" spans="1:3" ht="37.5" customHeight="1" x14ac:dyDescent="0.25">
      <c r="B4" s="15" t="s">
        <v>159</v>
      </c>
      <c r="C4" s="16" t="s">
        <v>160</v>
      </c>
    </row>
    <row r="5" spans="1:3" ht="37.5" customHeight="1" x14ac:dyDescent="0.25">
      <c r="B5" s="15" t="s">
        <v>161</v>
      </c>
      <c r="C5" s="16" t="s">
        <v>162</v>
      </c>
    </row>
    <row r="6" spans="1:3" ht="37.5" customHeight="1" x14ac:dyDescent="0.25">
      <c r="B6" s="15" t="s">
        <v>163</v>
      </c>
      <c r="C6" s="16" t="s">
        <v>164</v>
      </c>
    </row>
    <row r="7" spans="1:3" ht="37.5" customHeight="1" x14ac:dyDescent="0.25">
      <c r="B7" s="15" t="s">
        <v>165</v>
      </c>
      <c r="C7" s="16" t="s">
        <v>166</v>
      </c>
    </row>
    <row r="8" spans="1:3" ht="37.5" customHeight="1" x14ac:dyDescent="0.25">
      <c r="B8" s="15" t="s">
        <v>167</v>
      </c>
      <c r="C8" s="16" t="s">
        <v>168</v>
      </c>
    </row>
    <row r="9" spans="1:3" ht="37.5" customHeight="1" x14ac:dyDescent="0.25">
      <c r="B9" s="15" t="s">
        <v>169</v>
      </c>
      <c r="C9" s="16" t="s">
        <v>170</v>
      </c>
    </row>
    <row r="10" spans="1:3" ht="37.5" customHeight="1" x14ac:dyDescent="0.25">
      <c r="B10" s="15" t="s">
        <v>171</v>
      </c>
      <c r="C10" s="16" t="s">
        <v>172</v>
      </c>
    </row>
    <row r="11" spans="1:3" ht="37.5" customHeight="1" x14ac:dyDescent="0.25">
      <c r="B11" s="15" t="s">
        <v>173</v>
      </c>
      <c r="C11" s="16" t="s">
        <v>174</v>
      </c>
    </row>
    <row r="12" spans="1:3" ht="37.5" customHeight="1" x14ac:dyDescent="0.25">
      <c r="B12" s="15" t="s">
        <v>175</v>
      </c>
      <c r="C12" s="16" t="s">
        <v>176</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
    <mergeCell ref="A1:C1"/>
    <mergeCell ref="A2:C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J1000"/>
  <sheetViews>
    <sheetView showGridLines="0" zoomScaleNormal="100" workbookViewId="0">
      <selection activeCell="E11" sqref="E11:H11"/>
    </sheetView>
  </sheetViews>
  <sheetFormatPr defaultColWidth="14.42578125" defaultRowHeight="15" x14ac:dyDescent="0.25"/>
  <cols>
    <col min="1" max="1" width="3" customWidth="1"/>
    <col min="2" max="2" width="30" customWidth="1"/>
    <col min="3" max="5" width="14" customWidth="1"/>
    <col min="6" max="6" width="16" customWidth="1"/>
    <col min="7" max="8" width="14" customWidth="1"/>
    <col min="9" max="9" width="1.5703125" customWidth="1"/>
    <col min="10" max="10" width="52" customWidth="1"/>
  </cols>
  <sheetData>
    <row r="1" spans="1:10" ht="30" customHeight="1" x14ac:dyDescent="0.25">
      <c r="A1" s="10" t="s">
        <v>177</v>
      </c>
      <c r="B1" s="10"/>
      <c r="C1" s="10"/>
      <c r="D1" s="10"/>
      <c r="E1" s="10"/>
      <c r="F1" s="10"/>
      <c r="G1" s="10"/>
      <c r="H1" s="10"/>
    </row>
    <row r="2" spans="1:10" ht="21.75" customHeight="1" x14ac:dyDescent="0.25">
      <c r="A2" s="9" t="s">
        <v>178</v>
      </c>
      <c r="B2" s="9"/>
      <c r="C2" s="9"/>
      <c r="D2" s="9"/>
      <c r="E2" s="9"/>
      <c r="F2" s="9"/>
      <c r="G2" s="9"/>
      <c r="H2" s="9"/>
    </row>
    <row r="4" spans="1:10" ht="33.75" customHeight="1" x14ac:dyDescent="0.25">
      <c r="A4" s="8" t="s">
        <v>179</v>
      </c>
      <c r="B4" s="8"/>
      <c r="C4" s="8"/>
      <c r="D4" s="8"/>
      <c r="E4" s="8"/>
      <c r="F4" s="8"/>
      <c r="G4" s="8"/>
      <c r="H4" s="8"/>
    </row>
    <row r="6" spans="1:10" ht="18" customHeight="1" x14ac:dyDescent="0.25">
      <c r="B6" s="3" t="s">
        <v>103</v>
      </c>
      <c r="C6" s="3"/>
      <c r="D6" s="3"/>
      <c r="E6" s="3"/>
      <c r="F6" s="26" t="s">
        <v>104</v>
      </c>
      <c r="G6" s="26" t="s">
        <v>105</v>
      </c>
      <c r="J6" s="27" t="s">
        <v>106</v>
      </c>
    </row>
    <row r="7" spans="1:10" ht="55.5" customHeight="1" x14ac:dyDescent="0.25">
      <c r="B7" s="4" t="s">
        <v>180</v>
      </c>
      <c r="C7" s="4"/>
      <c r="D7" s="4"/>
      <c r="E7" s="4"/>
      <c r="F7" s="31"/>
      <c r="G7" s="28" t="str">
        <f>IF(F7="","",IFERROR(IF(ABS(F7-47.83)&lt;0.15,"✓  Correct","✗  Try again"),"✗  Try again"))</f>
        <v/>
      </c>
      <c r="J7" s="29" t="s">
        <v>181</v>
      </c>
    </row>
    <row r="9" spans="1:10" ht="24" customHeight="1" x14ac:dyDescent="0.25">
      <c r="A9" s="7" t="s">
        <v>182</v>
      </c>
      <c r="B9" s="7"/>
      <c r="C9" s="7"/>
      <c r="D9" s="7"/>
      <c r="E9" s="7"/>
      <c r="F9" s="7"/>
      <c r="G9" s="7"/>
      <c r="H9" s="7"/>
    </row>
    <row r="10" spans="1:10" ht="42" customHeight="1" x14ac:dyDescent="0.25">
      <c r="B10" s="4" t="s">
        <v>183</v>
      </c>
      <c r="C10" s="4"/>
      <c r="D10" s="4"/>
      <c r="E10" s="32"/>
      <c r="F10" s="32"/>
      <c r="G10" s="32"/>
      <c r="H10" s="32"/>
    </row>
    <row r="11" spans="1:10" ht="42" customHeight="1" x14ac:dyDescent="0.25">
      <c r="B11" s="4" t="s">
        <v>184</v>
      </c>
      <c r="C11" s="4"/>
      <c r="D11" s="4"/>
      <c r="E11" s="32"/>
      <c r="F11" s="32"/>
      <c r="G11" s="32"/>
      <c r="H11" s="32"/>
    </row>
    <row r="12" spans="1:10" ht="42" customHeight="1" x14ac:dyDescent="0.25">
      <c r="B12" s="4" t="s">
        <v>185</v>
      </c>
      <c r="C12" s="4"/>
      <c r="D12" s="4"/>
      <c r="E12" s="32"/>
      <c r="F12" s="32"/>
      <c r="G12" s="32"/>
      <c r="H12" s="32"/>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2">
    <mergeCell ref="B12:D12"/>
    <mergeCell ref="E12:H12"/>
    <mergeCell ref="A9:H9"/>
    <mergeCell ref="B10:D10"/>
    <mergeCell ref="E10:H10"/>
    <mergeCell ref="B11:D11"/>
    <mergeCell ref="E11:H11"/>
    <mergeCell ref="A1:H1"/>
    <mergeCell ref="A2:H2"/>
    <mergeCell ref="A4:H4"/>
    <mergeCell ref="B6:E6"/>
    <mergeCell ref="B7:E7"/>
  </mergeCells>
  <conditionalFormatting sqref="G7">
    <cfRule type="expression" dxfId="1" priority="2">
      <formula>ISNUMBER(SEARCH("Correct",G7))</formula>
    </cfRule>
    <cfRule type="expression" dxfId="0" priority="3">
      <formula>ISNUMBER(SEARCH("Try",G7))</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8F00"/>
  </sheetPr>
  <dimension ref="A1:V1000"/>
  <sheetViews>
    <sheetView showGridLines="0" tabSelected="1" zoomScaleNormal="100" workbookViewId="0">
      <selection activeCell="E18" sqref="E18"/>
    </sheetView>
  </sheetViews>
  <sheetFormatPr defaultColWidth="14.42578125" defaultRowHeight="15" x14ac:dyDescent="0.25"/>
  <cols>
    <col min="1" max="1" width="3" customWidth="1"/>
    <col min="2" max="2" width="50" customWidth="1"/>
    <col min="3" max="5" width="16" customWidth="1"/>
    <col min="6" max="6" width="32.5703125" customWidth="1"/>
    <col min="7" max="8" width="8.7109375" customWidth="1"/>
    <col min="10" max="22" width="3.42578125" customWidth="1"/>
  </cols>
  <sheetData>
    <row r="1" spans="1:22" ht="30" customHeight="1" x14ac:dyDescent="0.25">
      <c r="A1" s="10" t="s">
        <v>186</v>
      </c>
      <c r="B1" s="10"/>
      <c r="C1" s="10"/>
      <c r="D1" s="10"/>
      <c r="E1" s="10"/>
      <c r="F1" s="10"/>
      <c r="J1" s="11" t="s">
        <v>1</v>
      </c>
    </row>
    <row r="2" spans="1:22" ht="21.75" customHeight="1" x14ac:dyDescent="0.25">
      <c r="A2" s="9" t="s">
        <v>187</v>
      </c>
      <c r="B2" s="9"/>
      <c r="C2" s="9"/>
      <c r="D2" s="9"/>
      <c r="E2" s="9"/>
      <c r="F2" s="9"/>
      <c r="J2" s="12">
        <v>1</v>
      </c>
      <c r="K2" s="12">
        <v>2</v>
      </c>
      <c r="L2" s="12">
        <v>3</v>
      </c>
      <c r="M2" s="12">
        <v>4</v>
      </c>
      <c r="N2" s="12">
        <v>5</v>
      </c>
      <c r="O2" s="12">
        <v>6</v>
      </c>
      <c r="P2" s="12">
        <v>7</v>
      </c>
      <c r="Q2" s="12">
        <v>8</v>
      </c>
      <c r="R2" s="12">
        <v>9</v>
      </c>
      <c r="S2" s="12">
        <v>10</v>
      </c>
      <c r="T2" s="13">
        <v>11</v>
      </c>
      <c r="U2" s="12">
        <v>12</v>
      </c>
      <c r="V2" s="12">
        <v>13</v>
      </c>
    </row>
    <row r="4" spans="1:22" ht="24" customHeight="1" x14ac:dyDescent="0.25">
      <c r="A4" s="7" t="s">
        <v>188</v>
      </c>
      <c r="B4" s="7"/>
      <c r="C4" s="7"/>
      <c r="D4" s="7"/>
      <c r="E4" s="7"/>
      <c r="F4" s="7"/>
      <c r="G4" s="7"/>
      <c r="H4" s="7"/>
    </row>
    <row r="5" spans="1:22" ht="18" customHeight="1" x14ac:dyDescent="0.25">
      <c r="A5" s="8" t="s">
        <v>189</v>
      </c>
      <c r="B5" s="8"/>
      <c r="C5" s="8"/>
      <c r="D5" s="8"/>
      <c r="E5" s="8"/>
      <c r="F5" s="8"/>
      <c r="G5" s="8"/>
      <c r="H5" s="8"/>
    </row>
    <row r="6" spans="1:22" ht="24" customHeight="1" x14ac:dyDescent="0.25">
      <c r="C6" s="31"/>
      <c r="D6" s="4" t="s">
        <v>16</v>
      </c>
      <c r="E6" s="4"/>
      <c r="F6" s="4"/>
    </row>
    <row r="7" spans="1:22" ht="24" customHeight="1" x14ac:dyDescent="0.25">
      <c r="C7" s="31"/>
      <c r="D7" s="4" t="s">
        <v>190</v>
      </c>
      <c r="E7" s="4"/>
      <c r="F7" s="4"/>
    </row>
    <row r="8" spans="1:22" ht="24" customHeight="1" x14ac:dyDescent="0.25">
      <c r="C8" s="31"/>
      <c r="D8" s="4" t="s">
        <v>191</v>
      </c>
      <c r="E8" s="4"/>
      <c r="F8" s="4"/>
    </row>
    <row r="9" spans="1:22" ht="24" customHeight="1" x14ac:dyDescent="0.25">
      <c r="C9" s="31"/>
      <c r="D9" s="4" t="s">
        <v>192</v>
      </c>
      <c r="E9" s="4"/>
      <c r="F9" s="4"/>
    </row>
    <row r="10" spans="1:22" ht="24" customHeight="1" x14ac:dyDescent="0.25">
      <c r="C10" s="31"/>
      <c r="D10" s="4" t="s">
        <v>193</v>
      </c>
      <c r="E10" s="4"/>
      <c r="F10" s="4"/>
    </row>
    <row r="12" spans="1:22" ht="24" customHeight="1" x14ac:dyDescent="0.25">
      <c r="A12" s="7" t="s">
        <v>194</v>
      </c>
      <c r="B12" s="7"/>
      <c r="C12" s="7"/>
      <c r="D12" s="7"/>
      <c r="E12" s="7"/>
      <c r="F12" s="7"/>
      <c r="G12" s="7"/>
      <c r="H12" s="7"/>
    </row>
    <row r="13" spans="1:22" ht="18" customHeight="1" x14ac:dyDescent="0.25">
      <c r="A13" s="8" t="s">
        <v>195</v>
      </c>
      <c r="B13" s="8"/>
      <c r="C13" s="8"/>
      <c r="D13" s="8"/>
      <c r="E13" s="8"/>
      <c r="F13" s="8"/>
      <c r="G13" s="8"/>
      <c r="H13" s="8"/>
    </row>
    <row r="14" spans="1:22" ht="18" customHeight="1" x14ac:dyDescent="0.25">
      <c r="B14" s="5" t="s">
        <v>13</v>
      </c>
      <c r="C14" s="5"/>
      <c r="D14" s="5"/>
      <c r="E14" s="14" t="s">
        <v>196</v>
      </c>
    </row>
    <row r="15" spans="1:22" ht="21.75" customHeight="1" x14ac:dyDescent="0.25">
      <c r="B15" s="4" t="s">
        <v>15</v>
      </c>
      <c r="C15" s="4"/>
      <c r="D15" s="4"/>
      <c r="E15" s="31"/>
    </row>
    <row r="16" spans="1:22" ht="21.75" customHeight="1" x14ac:dyDescent="0.25">
      <c r="B16" s="4" t="s">
        <v>16</v>
      </c>
      <c r="C16" s="4"/>
      <c r="D16" s="4"/>
      <c r="E16" s="31"/>
    </row>
    <row r="17" spans="2:6" ht="21.75" customHeight="1" x14ac:dyDescent="0.25">
      <c r="B17" s="4" t="s">
        <v>17</v>
      </c>
      <c r="C17" s="4"/>
      <c r="D17" s="4"/>
      <c r="E17" s="31"/>
    </row>
    <row r="18" spans="2:6" ht="21.75" customHeight="1" x14ac:dyDescent="0.25">
      <c r="B18" s="4" t="s">
        <v>18</v>
      </c>
      <c r="C18" s="4"/>
      <c r="D18" s="4"/>
      <c r="E18" s="31"/>
    </row>
    <row r="20" spans="2:6" ht="15" customHeight="1" x14ac:dyDescent="0.25">
      <c r="B20" s="6" t="s">
        <v>197</v>
      </c>
      <c r="C20" s="6"/>
      <c r="D20" s="6"/>
      <c r="E20" s="6"/>
      <c r="F20" s="6"/>
    </row>
    <row r="21" spans="2:6" ht="15.75" customHeight="1" x14ac:dyDescent="0.25">
      <c r="B21" s="6"/>
      <c r="C21" s="6"/>
      <c r="D21" s="6"/>
      <c r="E21" s="6"/>
      <c r="F21" s="6"/>
    </row>
    <row r="22" spans="2:6" ht="15.75" customHeight="1" x14ac:dyDescent="0.25">
      <c r="B22" s="6"/>
      <c r="C22" s="6"/>
      <c r="D22" s="6"/>
      <c r="E22" s="6"/>
      <c r="F22" s="6"/>
    </row>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B18:D18"/>
    <mergeCell ref="B20:F22"/>
    <mergeCell ref="A13:H13"/>
    <mergeCell ref="B14:D14"/>
    <mergeCell ref="B15:D15"/>
    <mergeCell ref="B16:D16"/>
    <mergeCell ref="B17:D17"/>
    <mergeCell ref="D7:F7"/>
    <mergeCell ref="D8:F8"/>
    <mergeCell ref="D9:F9"/>
    <mergeCell ref="D10:F10"/>
    <mergeCell ref="A12:H12"/>
    <mergeCell ref="A1:F1"/>
    <mergeCell ref="A2:F2"/>
    <mergeCell ref="A4:H4"/>
    <mergeCell ref="A5:H5"/>
    <mergeCell ref="D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Start Here</vt:lpstr>
      <vt:lpstr>Anatomy of a Pivot</vt:lpstr>
      <vt:lpstr>Club Data</vt:lpstr>
      <vt:lpstr>Bookings_All</vt:lpstr>
      <vt:lpstr>Task 1 - First Pivot</vt:lpstr>
      <vt:lpstr>Task 2 - Change Aggregation</vt:lpstr>
      <vt:lpstr>Task 3 - Rows &amp; Columns</vt:lpstr>
      <vt:lpstr>Task 4 - Filters &amp; Slicers</vt:lpstr>
      <vt:lpstr>Task 5 - PivotChart</vt:lpstr>
      <vt:lpstr>Support</vt:lpstr>
      <vt:lpstr>Stretch</vt:lpstr>
      <vt:lpstr>Confidence &amp;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Chittenden</cp:lastModifiedBy>
  <cp:revision>0</cp:revision>
  <dcterms:created xsi:type="dcterms:W3CDTF">2026-06-10T13:07:25Z</dcterms:created>
  <dcterms:modified xsi:type="dcterms:W3CDTF">2026-06-22T21:43:25Z</dcterms:modified>
  <dc:language>en-US</dc:language>
</cp:coreProperties>
</file>