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G:\training-resources\"/>
    </mc:Choice>
  </mc:AlternateContent>
  <xr:revisionPtr revIDLastSave="0" documentId="8_{09F1DABA-15A8-43A0-B03F-D385BEB375B7}" xr6:coauthVersionLast="47" xr6:coauthVersionMax="47" xr10:uidLastSave="{00000000-0000-0000-0000-000000000000}"/>
  <bookViews>
    <workbookView xWindow="28680" yWindow="-120" windowWidth="29040" windowHeight="17520" tabRatio="791" activeTab="9" xr2:uid="{00000000-000D-0000-FFFF-FFFF00000000}"/>
  </bookViews>
  <sheets>
    <sheet name="Start Here" sheetId="1" r:id="rId1"/>
    <sheet name="Warm-up" sheetId="2" r:id="rId2"/>
    <sheet name="Club Data" sheetId="3" r:id="rId3"/>
    <sheet name="Bookings_All" sheetId="4" r:id="rId4"/>
    <sheet name="Task 1 - Totals &amp; Counts" sheetId="5" r:id="rId5"/>
    <sheet name="Task 2 - Averages &amp; Extremes" sheetId="6" r:id="rId6"/>
    <sheet name="Task 3 - Describe the Data" sheetId="7" r:id="rId7"/>
    <sheet name="Support" sheetId="8" r:id="rId8"/>
    <sheet name="Stretch" sheetId="9" r:id="rId9"/>
    <sheet name="Confidence &amp; Next Steps" sheetId="10" r:id="rId10"/>
  </sheets>
  <definedNames>
    <definedName name="_xlnm._FilterDatabase" localSheetId="3" hidden="1">Bookings_All!$A$4:$E$32</definedName>
    <definedName name="_xlnm._FilterDatabase" localSheetId="2" hidden="1">'Club Data'!$A$4:$I$27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7" i="9" l="1"/>
  <c r="G9" i="7"/>
  <c r="G8" i="7"/>
  <c r="G7" i="7"/>
  <c r="G10" i="6"/>
  <c r="G9" i="6"/>
  <c r="G8" i="6"/>
  <c r="G7" i="6"/>
  <c r="G11" i="5"/>
  <c r="G10" i="5"/>
  <c r="G9" i="5"/>
  <c r="G8" i="5"/>
  <c r="G7" i="5"/>
  <c r="G19" i="2"/>
  <c r="G18" i="2"/>
  <c r="G17" i="2"/>
  <c r="G16" i="2"/>
  <c r="G15" i="2"/>
  <c r="G14" i="2"/>
  <c r="G13" i="2"/>
  <c r="G12" i="2"/>
</calcChain>
</file>

<file path=xl/sharedStrings.xml><?xml version="1.0" encoding="utf-8"?>
<sst xmlns="http://schemas.openxmlformats.org/spreadsheetml/2006/main" count="333" uniqueCount="190">
  <si>
    <t>Module 7  -  The Basics: Summarising with Formulas</t>
  </si>
  <si>
    <t>YOUR JOURNEY</t>
  </si>
  <si>
    <t>SUM, AVERAGE, COUNT, MIN, MAX and simple statistics  -  Self-paced</t>
  </si>
  <si>
    <t>You can import, clean, shape and blend data. Now you ANALYSE it. From here on you work on the BLENDED dataset you built in Module 5 - the merged member table (with each member's payment and category) and the combined Jan+Feb bookings. A copy is in this workbook so it can check your answers. The foundation is a handful of simple formulas you type yourself.</t>
  </si>
  <si>
    <t>What you'll learn</t>
  </si>
  <si>
    <t>•  SUM: add up a column of numbers.</t>
  </si>
  <si>
    <t>•  AVERAGE: find the mean.</t>
  </si>
  <si>
    <t>•  COUNT / COUNTA: count numbers, or count filled cells.</t>
  </si>
  <si>
    <t>•  MIN and MAX: find the smallest and largest.</t>
  </si>
  <si>
    <t>•  MEDIAN, MODE, range: describe the data's middle, most common, and spread.</t>
  </si>
  <si>
    <t>How to type a formula</t>
  </si>
  <si>
    <t>Every formula starts with = then the function name then a bracket with the cells, e.g. =SUM(G5:G27). Type your formula in the YELLOW cell; the Check cell goes green or red. Tip: the blended member table has 3 members with no payment, so their Amount is blank - COUNT and AVERAGE simply ignore blanks.</t>
  </si>
  <si>
    <t>Before you start</t>
  </si>
  <si>
    <t>These few functions do most everyday data work. There's no rush and no penalty for a wrong formula - just fix it and try again. Breathe (in 4, hold 4, out 6) and start with the warm-up table, where the right answers are easy to see.</t>
  </si>
  <si>
    <t>Your confidence baseline  (1 = not yet, 5 = confident)</t>
  </si>
  <si>
    <t>Statement</t>
  </si>
  <si>
    <t>Rating (1-5)</t>
  </si>
  <si>
    <t>I can write SUM, AVERAGE and COUNT formulas</t>
  </si>
  <si>
    <t>I can find the smallest and largest with MIN and MAX</t>
  </si>
  <si>
    <t>I understand mean, median, mode and range</t>
  </si>
  <si>
    <t>I can tell when an outlier is distorting an average</t>
  </si>
  <si>
    <t>Warm-up - learn the moves on a tiny table</t>
  </si>
  <si>
    <t>Five numbers where you can check the answer in your head</t>
  </si>
  <si>
    <t>Five numbers sit in cells C5 to C9. Write each formula in the yellow cell and watch it match what you can work out by eye. Then you'll use the same formulas on the real data.</t>
  </si>
  <si>
    <t>(they live in C5:C9 --&gt;)</t>
  </si>
  <si>
    <t>Practice numbers</t>
  </si>
  <si>
    <t>What to calculate</t>
  </si>
  <si>
    <t>Type this kind of formula</t>
  </si>
  <si>
    <t>Your result</t>
  </si>
  <si>
    <t>Check</t>
  </si>
  <si>
    <t>🧭 Explore further</t>
  </si>
  <si>
    <t>Add them all up</t>
  </si>
  <si>
    <t>e.g.  =SUM(C5:C9)</t>
  </si>
  <si>
    <t>Explore: change one practice number and watch every result update instantly — that's why formulas beat typed-in values. Then try =LARGE(C5:C9,2) for the second-biggest, and =COUNTA vs =COUNT on the same range.</t>
  </si>
  <si>
    <t>Find the average</t>
  </si>
  <si>
    <t>e.g.  =AVERAGE(C5:C9)</t>
  </si>
  <si>
    <t>Count how many numbers</t>
  </si>
  <si>
    <t>e.g.  =COUNT(C5:C9)</t>
  </si>
  <si>
    <t>Find the smallest</t>
  </si>
  <si>
    <t>e.g.  =MIN(C5:C9)</t>
  </si>
  <si>
    <t>Find the largest</t>
  </si>
  <si>
    <t>e.g.  =MAX(C5:C9)</t>
  </si>
  <si>
    <t>Find the middle value (median)</t>
  </si>
  <si>
    <t>e.g.  =MEDIAN(C5:C9)</t>
  </si>
  <si>
    <t>Find the most common value (mode)</t>
  </si>
  <si>
    <t>e.g.  =MODE(C5:C9)</t>
  </si>
  <si>
    <t>Find the range (largest minus smallest)</t>
  </si>
  <si>
    <t>e.g.  =MAX(C5:C9)-MIN(C5:C9)</t>
  </si>
  <si>
    <t>The formula is just =NAME(range). On real data the only thing that changes is the range you point at.</t>
  </si>
  <si>
    <t>Data: Club Data</t>
  </si>
  <si>
    <t>Your blended member table from Module 5. Amount is in column G (G5:G27); 3 members have no payment (blank).</t>
  </si>
  <si>
    <t>MemberID</t>
  </si>
  <si>
    <t>Name</t>
  </si>
  <si>
    <t>MembershipType</t>
  </si>
  <si>
    <t>JoinYear</t>
  </si>
  <si>
    <t>MemberSegment</t>
  </si>
  <si>
    <t>Tenure</t>
  </si>
  <si>
    <t>Amount</t>
  </si>
  <si>
    <t>Method</t>
  </si>
  <si>
    <t>AmountReview</t>
  </si>
  <si>
    <t>Aisha Khan</t>
  </si>
  <si>
    <t>Adult</t>
  </si>
  <si>
    <t>Full</t>
  </si>
  <si>
    <t>Established</t>
  </si>
  <si>
    <t>Direct Debit</t>
  </si>
  <si>
    <t>Standard</t>
  </si>
  <si>
    <t>Tom Reilly</t>
  </si>
  <si>
    <t>Family</t>
  </si>
  <si>
    <t>Household</t>
  </si>
  <si>
    <t>High</t>
  </si>
  <si>
    <t>Grace O'Neil</t>
  </si>
  <si>
    <t>Junior</t>
  </si>
  <si>
    <t>Concession</t>
  </si>
  <si>
    <t>Recent</t>
  </si>
  <si>
    <t>Card</t>
  </si>
  <si>
    <t>Low</t>
  </si>
  <si>
    <t>David Patel</t>
  </si>
  <si>
    <t>Senior</t>
  </si>
  <si>
    <t>Veteran</t>
  </si>
  <si>
    <t>Maria Santos</t>
  </si>
  <si>
    <t>Liam Walsh</t>
  </si>
  <si>
    <t>Cash</t>
  </si>
  <si>
    <t>Chloe Bennett</t>
  </si>
  <si>
    <t>Noah Fischer</t>
  </si>
  <si>
    <t>Priya Sharma</t>
  </si>
  <si>
    <t>James Murray</t>
  </si>
  <si>
    <t>Sofia Rossi</t>
  </si>
  <si>
    <t>Ben Carter</t>
  </si>
  <si>
    <t>Hannah Lee</t>
  </si>
  <si>
    <t>Omar Hassan</t>
  </si>
  <si>
    <t>Ella Thompson</t>
  </si>
  <si>
    <t>Escalate</t>
  </si>
  <si>
    <t>Jack Robinson</t>
  </si>
  <si>
    <t>Mia Nguyen</t>
  </si>
  <si>
    <t>Daniel Clarke</t>
  </si>
  <si>
    <t>Zara Ahmed</t>
  </si>
  <si>
    <t>Lucas Meyer</t>
  </si>
  <si>
    <t>Freya Scott</t>
  </si>
  <si>
    <t>Adam Foster</t>
  </si>
  <si>
    <t>Isla Murphy</t>
  </si>
  <si>
    <t>Data: Bookings_All</t>
  </si>
  <si>
    <t>Your appended Jan+Feb bookings. DurationMins is in column E (E5:E32).</t>
  </si>
  <si>
    <t>BookingID</t>
  </si>
  <si>
    <t>Activity</t>
  </si>
  <si>
    <t>Date</t>
  </si>
  <si>
    <t>DurationMins</t>
  </si>
  <si>
    <t>Swimming</t>
  </si>
  <si>
    <t>Tennis</t>
  </si>
  <si>
    <t>Gym</t>
  </si>
  <si>
    <t>Yoga</t>
  </si>
  <si>
    <t>Squash</t>
  </si>
  <si>
    <t>Task 1 - Totals and counts on the blended data</t>
  </si>
  <si>
    <t>Use the Club Data and Bookings_All tabs</t>
  </si>
  <si>
    <t>Amount is in Club Data!G5:G27; DurationMins is in Bookings_All!E5:E32; MemberID is in Club Data!A5:A27. Write each formula in the yellow cell.</t>
  </si>
  <si>
    <t>Total of all payment amounts</t>
  </si>
  <si>
    <t>e.g.  =SUM('Club Data'!G5:G27)</t>
  </si>
  <si>
    <t>Explore: select a range and read Sum / Count / Average off the STATUS BAR (bottom of Excel) — a free sanity check on every formula. Also try =SUBTOTAL(9,range): it re-totals live when you filter.</t>
  </si>
  <si>
    <t>How many payments are there (COUNT ignores blanks)</t>
  </si>
  <si>
    <t>e.g.  =COUNT('Club Data'!G5:G27)</t>
  </si>
  <si>
    <t>How many members are there (COUNTA counts all)</t>
  </si>
  <si>
    <t>e.g.  =COUNTA('Club Data'!A5:A27)</t>
  </si>
  <si>
    <t>Total of all booking durations (mins)</t>
  </si>
  <si>
    <t>e.g.  =SUM(Bookings_All!E5:E32)</t>
  </si>
  <si>
    <t>How many bookings are there</t>
  </si>
  <si>
    <t>e.g.  =COUNT(Bookings_All!E5:E32)</t>
  </si>
  <si>
    <t>💡  Notice: COUNT of Amount is 20 but COUNTA of MemberID is 23 - because 3 members have no payment. That gap is itself a finding.</t>
  </si>
  <si>
    <t>Task 2 - Averages and extremes</t>
  </si>
  <si>
    <t>Mean, smallest and largest</t>
  </si>
  <si>
    <t>Find the average payment, and the smallest and largest. Keep an eye on that largest one...</t>
  </si>
  <si>
    <t>Average payment amount</t>
  </si>
  <si>
    <t>e.g.  =AVERAGE('Club Data'!G5:G27)</t>
  </si>
  <si>
    <t>Explore: try =LARGE(range,2) and =SMALL(range,2) for second-biggest and second-smallest. How far is the 2nd-largest payment from the largest? That gap IS the outlier story.</t>
  </si>
  <si>
    <t>Smallest payment</t>
  </si>
  <si>
    <t>e.g.  =MIN('Club Data'!G5:G27)</t>
  </si>
  <si>
    <t>Largest payment</t>
  </si>
  <si>
    <t>e.g.  =MAX('Club Data'!G5:G27)</t>
  </si>
  <si>
    <t>Average booking duration (mins)</t>
  </si>
  <si>
    <t>e.g.  =AVERAGE(Bookings_All!E5:E32)</t>
  </si>
  <si>
    <t>💡  The largest payment (350) is far above the others - the outlier you spotted in Module 6. See how it pulls the average up. Task 3 shows a fairer 'middle'.</t>
  </si>
  <si>
    <t>Task 3 - Describe the data</t>
  </si>
  <si>
    <t>Median, mode and range - and the outlier's effect</t>
  </si>
  <si>
    <t>Three more measures describe a set of numbers: MEDIAN (middle when sorted), MODE (most common) and RANGE (largest minus smallest). Work them out for the payment amounts.</t>
  </si>
  <si>
    <t>Median (middle) payment</t>
  </si>
  <si>
    <t>e.g.  =MEDIAN('Club Data'!G5:G27)</t>
  </si>
  <si>
    <t>Explore: try =QUARTILE.INC(range,1) and =QUARTILE.INC(range,3) — the middle 50% of payments. Then =AVERAGE vs =MEDIAN side by side: the gap between them is the outlier's signature.</t>
  </si>
  <si>
    <t>Mode (most common) payment</t>
  </si>
  <si>
    <t>e.g.  =MODE('Club Data'!G5:G27)</t>
  </si>
  <si>
    <t>Range of payments (max - min)</t>
  </si>
  <si>
    <t>e.g.  =MAX('Club Data'!G5:G27)-MIN('Club Data'!G5:G27)</t>
  </si>
  <si>
    <t>Compare them: the AVERAGE payment is 50.7, but the MEDIAN is 35.0 and the MODE is 35.0. The single 350 outlier drags the mean up, while the median and mode show what a TYPICAL member pays. When data has outliers, the median often describes it more honestly than the mean.</t>
  </si>
  <si>
    <t>Support - the functions</t>
  </si>
  <si>
    <t>Type the = sign first, then the name and the range in brackets.</t>
  </si>
  <si>
    <t>SUM</t>
  </si>
  <si>
    <t>SUM(range) - adds the numbers. Example: SUM(G5:G27).</t>
  </si>
  <si>
    <t>AVERAGE</t>
  </si>
  <si>
    <t>AVERAGE(range) - the mean. Ignores blank cells.</t>
  </si>
  <si>
    <t>COUNT vs COUNTA</t>
  </si>
  <si>
    <t>COUNT(range) counts cells with NUMBERS (ignores blanks). COUNTA(range) counts cells with ANYTHING (incl. text).</t>
  </si>
  <si>
    <t>MIN / MAX</t>
  </si>
  <si>
    <t>MIN(range) smallest, MAX(range) largest.</t>
  </si>
  <si>
    <t>MEDIAN</t>
  </si>
  <si>
    <t>MEDIAN(range) - the middle value when sorted. Less affected by outliers than the mean.</t>
  </si>
  <si>
    <t>MODE</t>
  </si>
  <si>
    <t>MODE(range) - the most common value. (Errors if nothing repeats.)</t>
  </si>
  <si>
    <t>Range (spread)</t>
  </si>
  <si>
    <t>No RANGE function - use MAX(range) - MIN(range).</t>
  </si>
  <si>
    <t>Sheet names with spaces</t>
  </si>
  <si>
    <t>Wrap them in apostrophes: 'Club Data'!G5:G27. Bookings_All has no space, so Bookings_All!E5:E32 is fine.</t>
  </si>
  <si>
    <t>Stretch - the outlier's effect</t>
  </si>
  <si>
    <t>See exactly how one value moves the mean</t>
  </si>
  <si>
    <t>Work out what the average payment would be if the 350 outlier were a normal 35 instead. (The total is 1014; swapping 350 for 35 lowers it by 315, over 20 payments.)</t>
  </si>
  <si>
    <t>Average if the total were 315 lower: (1014-315)/20</t>
  </si>
  <si>
    <t>e.g.  =(1014-315)/20</t>
  </si>
  <si>
    <t>Explore: get the same answer live with =(SUM(range)-350+35)/COUNT(range) — no hardcoded 1014 needed. Which version still works if the data changes?</t>
  </si>
  <si>
    <t>Reasoning prompts (write your own - no marking)</t>
  </si>
  <si>
    <t>The mean payment is 50.70 but most pay far less. Which single number - mean, median or mode - best describes a 'typical' member, and why?</t>
  </si>
  <si>
    <t>When is the MEAN actually the better measure, despite outliers?</t>
  </si>
  <si>
    <t>Three members have no payment. Why might COUNTA vs COUNT of that column be a useful check in itself?</t>
  </si>
  <si>
    <t>Confidence &amp; Next Steps</t>
  </si>
  <si>
    <t>Your readiness gate for Module 8</t>
  </si>
  <si>
    <t>Mastery gate - ready for Module 8 when you can honestly tick all of these</t>
  </si>
  <si>
    <t>Type x in each yellow box you can tick.</t>
  </si>
  <si>
    <t>I can write SUM, AVERAGE and COUNT and point them at a range</t>
  </si>
  <si>
    <t>I worked out the median, mode and range of the payments</t>
  </si>
  <si>
    <t>I can explain why the 350 outlier makes the mean misleading</t>
  </si>
  <si>
    <t>I know the difference between COUNT and COUNTA (and why 3 amounts are blank)</t>
  </si>
  <si>
    <t>Re-rate your confidence (compare with your baseline)</t>
  </si>
  <si>
    <t>Seeing these rise from your Module 7 baseline is the goal.</t>
  </si>
  <si>
    <t>Now (1-5)</t>
  </si>
  <si>
    <t>Next up - Module 8: The IF family. Same totals and counts, but only for rows that meet a condition (e.g. total of CARD payments, or count of ADULT members) - on this same blended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</si>
</sst>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yyyy\-mm\-dd"/>
  </numFmts>
  <fonts count="18" x14ac:knownFonts="1">
    <font>
      <sz val="11"/>
      <color theme="1"/>
      <name val="Calibri"/>
      <charset val="1"/>
    </font>
    <font>
      <b/>
      <sz val="18"/>
      <color rgb="FFFFFFFF"/>
      <name val="Arial"/>
      <charset val="1"/>
    </font>
    <font>
      <b/>
      <sz val="7"/>
      <color rgb="FF8C8C8C"/>
      <name val="Arial"/>
      <charset val="1"/>
    </font>
    <font>
      <sz val="11"/>
      <color rgb="FFFFFFFF"/>
      <name val="Arial"/>
      <charset val="1"/>
    </font>
    <font>
      <sz val="8"/>
      <color rgb="FF595959"/>
      <name val="Arial"/>
      <charset val="1"/>
    </font>
    <font>
      <b/>
      <sz val="8"/>
      <color rgb="FFFFFFFF"/>
      <name val="Arial"/>
      <charset val="1"/>
    </font>
    <font>
      <sz val="11"/>
      <color rgb="FF000000"/>
      <name val="Arial"/>
      <charset val="1"/>
    </font>
    <font>
      <b/>
      <sz val="12"/>
      <color rgb="FF1F3B57"/>
      <name val="Arial"/>
      <charset val="1"/>
    </font>
    <font>
      <sz val="11"/>
      <color rgb="FF006100"/>
      <name val="Arial"/>
      <charset val="1"/>
    </font>
    <font>
      <b/>
      <sz val="10.5"/>
      <color rgb="FFFFFFFF"/>
      <name val="Arial"/>
      <charset val="1"/>
    </font>
    <font>
      <i/>
      <sz val="10"/>
      <color rgb="FF555555"/>
      <name val="Arial"/>
      <charset val="1"/>
    </font>
    <font>
      <b/>
      <sz val="11"/>
      <color rgb="FF1F3B57"/>
      <name val="Arial"/>
      <charset val="1"/>
    </font>
    <font>
      <b/>
      <sz val="10"/>
      <color rgb="FF1F6B6B"/>
      <name val="Arial"/>
      <charset val="1"/>
    </font>
    <font>
      <b/>
      <sz val="11"/>
      <name val="Arial"/>
      <charset val="1"/>
    </font>
    <font>
      <i/>
      <sz val="9.5"/>
      <color rgb="FF3F6363"/>
      <name val="Arial"/>
      <charset val="1"/>
    </font>
    <font>
      <sz val="11"/>
      <color rgb="FF2E8B8B"/>
      <name val="Arial"/>
      <charset val="1"/>
    </font>
    <font>
      <b/>
      <sz val="11"/>
      <color rgb="FFFFFFFF"/>
      <name val="Arial"/>
      <charset val="1"/>
    </font>
    <font>
      <sz val="10.5"/>
      <color rgb="FF5B4A1F"/>
      <name val="Arial"/>
      <charset val="1"/>
    </font>
  </fonts>
  <fills count="13">
    <fill>
      <patternFill patternType="none"/>
    </fill>
    <fill>
      <patternFill patternType="gray125"/>
    </fill>
    <fill>
      <patternFill patternType="solid">
        <fgColor rgb="FF1F3B57"/>
        <bgColor rgb="FF003366"/>
      </patternFill>
    </fill>
    <fill>
      <patternFill patternType="solid">
        <fgColor rgb="FF2E8B8B"/>
        <bgColor rgb="FF2E75B6"/>
      </patternFill>
    </fill>
    <fill>
      <patternFill patternType="solid">
        <fgColor rgb="FFE2E6EA"/>
        <bgColor rgb="FFEDEDED"/>
      </patternFill>
    </fill>
    <fill>
      <patternFill patternType="solid">
        <fgColor rgb="FFEAF2F2"/>
        <bgColor rgb="FFEFF6F6"/>
      </patternFill>
    </fill>
    <fill>
      <patternFill patternType="solid">
        <fgColor rgb="FFC6EFCE"/>
        <bgColor rgb="FFE2E6EA"/>
      </patternFill>
    </fill>
    <fill>
      <patternFill patternType="solid">
        <fgColor rgb="FFFFF3C4"/>
        <bgColor rgb="FFFDF4E3"/>
      </patternFill>
    </fill>
    <fill>
      <patternFill patternType="solid">
        <fgColor rgb="FFEDEDED"/>
        <bgColor rgb="FFEAF2F2"/>
      </patternFill>
    </fill>
    <fill>
      <patternFill patternType="solid">
        <fgColor rgb="FFEFF6F6"/>
        <bgColor rgb="FFF2F7F7"/>
      </patternFill>
    </fill>
    <fill>
      <patternFill patternType="solid">
        <fgColor rgb="FFF2F7F7"/>
        <bgColor rgb="FFEFF6F6"/>
      </patternFill>
    </fill>
    <fill>
      <patternFill patternType="solid">
        <fgColor rgb="FFFFFFFF"/>
        <bgColor rgb="FFF2F7F7"/>
      </patternFill>
    </fill>
    <fill>
      <patternFill patternType="solid">
        <fgColor rgb="FFFDF4E3"/>
        <bgColor rgb="FFF2F7F7"/>
      </patternFill>
    </fill>
  </fills>
  <borders count="9">
    <border>
      <left/>
      <right/>
      <top/>
      <bottom/>
      <diagonal/>
    </border>
    <border>
      <left/>
      <right/>
      <top/>
      <bottom style="medium">
        <color rgb="FF2E8B8B"/>
      </bottom>
      <diagonal/>
    </border>
    <border>
      <left style="thick">
        <color rgb="FF2E8B8B"/>
      </left>
      <right/>
      <top/>
      <bottom/>
      <diagonal/>
    </border>
    <border>
      <left style="thin">
        <color rgb="FFBFBFBF"/>
      </left>
      <right/>
      <top style="thin">
        <color rgb="FFBFBFBF"/>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2E8B8B"/>
      </left>
      <right style="hair">
        <color rgb="FF9DC3C3"/>
      </right>
      <top style="hair">
        <color rgb="FF9DC3C3"/>
      </top>
      <bottom style="hair">
        <color rgb="FF9DC3C3"/>
      </bottom>
      <diagonal/>
    </border>
    <border>
      <left style="thin">
        <color rgb="FFD9D9D9"/>
      </left>
      <right style="thin">
        <color rgb="FFD9D9D9"/>
      </right>
      <top style="thin">
        <color rgb="FFD9D9D9"/>
      </top>
      <bottom style="thin">
        <color rgb="FFD9D9D9"/>
      </bottom>
      <diagonal/>
    </border>
    <border>
      <left style="thick">
        <color rgb="FFE8A33D"/>
      </left>
      <right/>
      <top/>
      <bottom/>
      <diagonal/>
    </border>
  </borders>
  <cellStyleXfs count="1">
    <xf numFmtId="0" fontId="0" fillId="0" borderId="0"/>
  </cellStyleXfs>
  <cellXfs count="39">
    <xf numFmtId="0" fontId="0" fillId="0" borderId="0" xfId="0"/>
    <xf numFmtId="0" fontId="17" fillId="12" borderId="8" xfId="0" applyFont="1" applyFill="1" applyBorder="1" applyAlignment="1">
      <alignment vertical="top" wrapText="1"/>
    </xf>
    <xf numFmtId="0" fontId="15" fillId="0" borderId="0" xfId="0" applyFont="1" applyAlignment="1">
      <alignment vertical="top" wrapText="1"/>
    </xf>
    <xf numFmtId="0" fontId="14" fillId="9" borderId="6" xfId="0" applyFont="1" applyFill="1" applyBorder="1" applyAlignment="1">
      <alignment vertical="top" wrapText="1"/>
    </xf>
    <xf numFmtId="0" fontId="10" fillId="0" borderId="4" xfId="0" applyFont="1" applyBorder="1" applyAlignment="1">
      <alignment vertical="top" wrapText="1"/>
    </xf>
    <xf numFmtId="0" fontId="9" fillId="2" borderId="0" xfId="0" applyFont="1" applyFill="1" applyAlignment="1">
      <alignment horizontal="center" vertical="center" wrapText="1"/>
    </xf>
    <xf numFmtId="0" fontId="9" fillId="2" borderId="0" xfId="0" applyFont="1" applyFill="1" applyAlignment="1">
      <alignment horizontal="left" vertical="center" wrapText="1" indent="1"/>
    </xf>
    <xf numFmtId="0" fontId="6" fillId="0" borderId="4" xfId="0" applyFont="1" applyBorder="1" applyAlignment="1">
      <alignment vertical="top" wrapText="1"/>
    </xf>
    <xf numFmtId="0" fontId="9" fillId="2" borderId="0" xfId="0" applyFont="1" applyFill="1" applyAlignment="1">
      <alignment vertical="center" wrapText="1" indent="1"/>
    </xf>
    <xf numFmtId="0" fontId="8" fillId="6" borderId="3" xfId="0" applyFont="1" applyFill="1" applyBorder="1" applyAlignment="1">
      <alignment vertical="top" wrapText="1"/>
    </xf>
    <xf numFmtId="0" fontId="7" fillId="5" borderId="2" xfId="0" applyFont="1" applyFill="1" applyBorder="1" applyAlignment="1">
      <alignment vertical="center" indent="1"/>
    </xf>
    <xf numFmtId="0" fontId="6" fillId="0" borderId="0" xfId="0" applyFont="1" applyAlignment="1">
      <alignment vertical="top" wrapText="1"/>
    </xf>
    <xf numFmtId="0" fontId="3" fillId="3" borderId="1" xfId="0" applyFont="1" applyFill="1" applyBorder="1" applyAlignment="1">
      <alignment horizontal="left" vertical="center"/>
    </xf>
    <xf numFmtId="0" fontId="1" fillId="2" borderId="0" xfId="0" applyFont="1" applyFill="1" applyAlignment="1">
      <alignment horizontal="left" vertical="center"/>
    </xf>
    <xf numFmtId="0" fontId="2" fillId="0" borderId="0" xfId="0" applyFont="1"/>
    <xf numFmtId="0" fontId="4" fillId="4" borderId="0" xfId="0" applyFont="1" applyFill="1" applyAlignment="1">
      <alignment horizontal="center" vertical="center"/>
    </xf>
    <xf numFmtId="0" fontId="5" fillId="3" borderId="0" xfId="0" applyFont="1" applyFill="1" applyAlignment="1">
      <alignment horizontal="center" vertical="center"/>
    </xf>
    <xf numFmtId="0" fontId="9" fillId="2" borderId="0" xfId="0" applyFont="1" applyFill="1" applyAlignment="1">
      <alignment vertical="center" wrapText="1"/>
    </xf>
    <xf numFmtId="0" fontId="10" fillId="0" borderId="0" xfId="0" applyFont="1"/>
    <xf numFmtId="0" fontId="6" fillId="8" borderId="5" xfId="0" applyFont="1" applyFill="1" applyBorder="1" applyAlignment="1">
      <alignment horizontal="center" vertical="center"/>
    </xf>
    <xf numFmtId="0" fontId="11" fillId="0" borderId="0" xfId="0" applyFont="1"/>
    <xf numFmtId="0" fontId="9" fillId="2" borderId="0" xfId="0" applyFont="1" applyFill="1" applyAlignment="1">
      <alignment horizontal="center" vertical="center" wrapText="1"/>
    </xf>
    <xf numFmtId="0" fontId="12" fillId="0" borderId="0" xfId="0" applyFont="1" applyAlignment="1">
      <alignment vertical="center"/>
    </xf>
    <xf numFmtId="0" fontId="13" fillId="0" borderId="5" xfId="0" applyFont="1" applyBorder="1" applyAlignment="1">
      <alignment horizontal="center" vertical="center"/>
    </xf>
    <xf numFmtId="0" fontId="14" fillId="9" borderId="6" xfId="0" applyFont="1" applyFill="1" applyBorder="1" applyAlignment="1">
      <alignment vertical="top" wrapText="1"/>
    </xf>
    <xf numFmtId="0" fontId="16" fillId="2" borderId="1" xfId="0" applyFont="1" applyFill="1" applyBorder="1" applyAlignment="1">
      <alignment horizontal="center" vertical="center"/>
    </xf>
    <xf numFmtId="0" fontId="6" fillId="10" borderId="7" xfId="0" applyFont="1" applyFill="1" applyBorder="1" applyAlignment="1">
      <alignment horizontal="center"/>
    </xf>
    <xf numFmtId="0" fontId="6" fillId="10" borderId="7" xfId="0" applyFont="1" applyFill="1" applyBorder="1"/>
    <xf numFmtId="164" fontId="6" fillId="10" borderId="7" xfId="0" applyNumberFormat="1" applyFont="1" applyFill="1" applyBorder="1" applyAlignment="1">
      <alignment horizontal="right"/>
    </xf>
    <xf numFmtId="0" fontId="6" fillId="11" borderId="7" xfId="0" applyFont="1" applyFill="1" applyBorder="1" applyAlignment="1">
      <alignment horizontal="center"/>
    </xf>
    <xf numFmtId="0" fontId="6" fillId="11" borderId="7" xfId="0" applyFont="1" applyFill="1" applyBorder="1"/>
    <xf numFmtId="164" fontId="6" fillId="11" borderId="7" xfId="0" applyNumberFormat="1" applyFont="1" applyFill="1" applyBorder="1" applyAlignment="1">
      <alignment horizontal="right"/>
    </xf>
    <xf numFmtId="165" fontId="6" fillId="10" borderId="7" xfId="0" applyNumberFormat="1" applyFont="1" applyFill="1" applyBorder="1" applyAlignment="1">
      <alignment horizontal="center"/>
    </xf>
    <xf numFmtId="165" fontId="6" fillId="11" borderId="7" xfId="0" applyNumberFormat="1" applyFont="1" applyFill="1" applyBorder="1" applyAlignment="1">
      <alignment horizontal="center"/>
    </xf>
    <xf numFmtId="0" fontId="11" fillId="0" borderId="5" xfId="0" applyFont="1" applyBorder="1" applyAlignment="1">
      <alignment vertical="top" wrapText="1"/>
    </xf>
    <xf numFmtId="0" fontId="6" fillId="0" borderId="5" xfId="0" applyFont="1" applyBorder="1" applyAlignment="1">
      <alignment vertical="top" wrapText="1"/>
    </xf>
    <xf numFmtId="0" fontId="0" fillId="7" borderId="4" xfId="0" applyFill="1" applyBorder="1" applyAlignment="1" applyProtection="1">
      <alignment horizontal="center" vertical="center"/>
      <protection locked="0"/>
    </xf>
    <xf numFmtId="0" fontId="0" fillId="7" borderId="5" xfId="0" applyFill="1" applyBorder="1" applyAlignment="1" applyProtection="1">
      <alignment horizontal="center" vertical="center"/>
      <protection locked="0"/>
    </xf>
    <xf numFmtId="0" fontId="0" fillId="7" borderId="4" xfId="0" applyFill="1" applyBorder="1" applyAlignment="1" applyProtection="1">
      <alignment vertical="top" wrapText="1"/>
      <protection locked="0"/>
    </xf>
  </cellXfs>
  <cellStyles count="1">
    <cellStyle name="Normal" xfId="0" builtinId="0"/>
  </cellStyles>
  <dxfs count="10">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
      <font>
        <b/>
        <sz val="11"/>
        <color rgb="FF9C0006"/>
        <name val="Arial"/>
        <charset val="1"/>
      </font>
      <fill>
        <patternFill>
          <bgColor rgb="FFFFC7CE"/>
        </patternFill>
      </fill>
    </dxf>
    <dxf>
      <font>
        <b/>
        <sz val="11"/>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2F7F7"/>
      <rgbColor rgb="FFFF00FF"/>
      <rgbColor rgb="FF00FFFF"/>
      <rgbColor rgb="FF9C0006"/>
      <rgbColor rgb="FF006100"/>
      <rgbColor rgb="FF000080"/>
      <rgbColor rgb="FF548235"/>
      <rgbColor rgb="FF800080"/>
      <rgbColor rgb="FF1F6B6B"/>
      <rgbColor rgb="FFBFBFBF"/>
      <rgbColor rgb="FF7F8C99"/>
      <rgbColor rgb="FF9999FF"/>
      <rgbColor rgb="FF7030A0"/>
      <rgbColor rgb="FFFFF3C4"/>
      <rgbColor rgb="FFEAF2F2"/>
      <rgbColor rgb="FF660066"/>
      <rgbColor rgb="FFFF8080"/>
      <rgbColor rgb="FF0066CC"/>
      <rgbColor rgb="FFD9D9D9"/>
      <rgbColor rgb="FF000080"/>
      <rgbColor rgb="FFFF00FF"/>
      <rgbColor rgb="FFFFFF00"/>
      <rgbColor rgb="FF00FFFF"/>
      <rgbColor rgb="FF800080"/>
      <rgbColor rgb="FF800000"/>
      <rgbColor rgb="FF3F6363"/>
      <rgbColor rgb="FF0000FF"/>
      <rgbColor rgb="FF00CCFF"/>
      <rgbColor rgb="FFEFF6F6"/>
      <rgbColor rgb="FFC6EFCE"/>
      <rgbColor rgb="FFFDF4E3"/>
      <rgbColor rgb="FF9DC3C3"/>
      <rgbColor rgb="FFEDEDED"/>
      <rgbColor rgb="FFE2E6EA"/>
      <rgbColor rgb="FFFFC7CE"/>
      <rgbColor rgb="FF2E75B6"/>
      <rgbColor rgb="FF33CCCC"/>
      <rgbColor rgb="FF99CC00"/>
      <rgbColor rgb="FFFFCC00"/>
      <rgbColor rgb="FFE8A33D"/>
      <rgbColor rgb="FFBF8F00"/>
      <rgbColor rgb="FF595959"/>
      <rgbColor rgb="FF8C8C8C"/>
      <rgbColor rgb="FF003366"/>
      <rgbColor rgb="FF2E8B8B"/>
      <rgbColor rgb="FF003300"/>
      <rgbColor rgb="FF5B4A1F"/>
      <rgbColor rgb="FF993300"/>
      <rgbColor rgb="FF993366"/>
      <rgbColor rgb="FF555555"/>
      <rgbColor rgb="FF1F3B5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B57"/>
  </sheetPr>
  <dimension ref="A1:V1000"/>
  <sheetViews>
    <sheetView showGridLines="0" zoomScaleNormal="100" workbookViewId="0">
      <selection activeCell="G25" sqref="G25:H25"/>
    </sheetView>
  </sheetViews>
  <sheetFormatPr defaultColWidth="14.42578125" defaultRowHeight="15" x14ac:dyDescent="0.25"/>
  <cols>
    <col min="1" max="1" width="3" customWidth="1"/>
    <col min="2" max="2" width="24" customWidth="1"/>
    <col min="3" max="5" width="14" customWidth="1"/>
    <col min="6" max="6" width="16" customWidth="1"/>
    <col min="7" max="7" width="14" customWidth="1"/>
    <col min="8" max="8" width="16" customWidth="1"/>
    <col min="10" max="22" width="3.42578125" customWidth="1"/>
  </cols>
  <sheetData>
    <row r="1" spans="1:22" ht="30" customHeight="1" x14ac:dyDescent="0.25">
      <c r="A1" s="13" t="s">
        <v>0</v>
      </c>
      <c r="B1" s="13"/>
      <c r="C1" s="13"/>
      <c r="D1" s="13"/>
      <c r="E1" s="13"/>
      <c r="F1" s="13"/>
      <c r="G1" s="13"/>
      <c r="H1" s="13"/>
      <c r="J1" s="14" t="s">
        <v>1</v>
      </c>
    </row>
    <row r="2" spans="1:22" ht="21.75" customHeight="1" x14ac:dyDescent="0.25">
      <c r="A2" s="12" t="s">
        <v>2</v>
      </c>
      <c r="B2" s="12"/>
      <c r="C2" s="12"/>
      <c r="D2" s="12"/>
      <c r="E2" s="12"/>
      <c r="F2" s="12"/>
      <c r="G2" s="12"/>
      <c r="H2" s="12"/>
      <c r="J2" s="15">
        <v>1</v>
      </c>
      <c r="K2" s="15">
        <v>2</v>
      </c>
      <c r="L2" s="15">
        <v>3</v>
      </c>
      <c r="M2" s="15">
        <v>4</v>
      </c>
      <c r="N2" s="15">
        <v>5</v>
      </c>
      <c r="O2" s="15">
        <v>6</v>
      </c>
      <c r="P2" s="16">
        <v>7</v>
      </c>
      <c r="Q2" s="15">
        <v>8</v>
      </c>
      <c r="R2" s="15">
        <v>9</v>
      </c>
      <c r="S2" s="15">
        <v>10</v>
      </c>
      <c r="T2" s="15">
        <v>11</v>
      </c>
      <c r="U2" s="15">
        <v>12</v>
      </c>
      <c r="V2" s="15">
        <v>13</v>
      </c>
    </row>
    <row r="4" spans="1:22" ht="57.75" customHeight="1" x14ac:dyDescent="0.25">
      <c r="A4" s="11" t="s">
        <v>3</v>
      </c>
      <c r="B4" s="11"/>
      <c r="C4" s="11"/>
      <c r="D4" s="11"/>
      <c r="E4" s="11"/>
      <c r="F4" s="11"/>
      <c r="G4" s="11"/>
      <c r="H4" s="11"/>
    </row>
    <row r="6" spans="1:22" ht="24" customHeight="1" x14ac:dyDescent="0.25">
      <c r="A6" s="10" t="s">
        <v>4</v>
      </c>
      <c r="B6" s="10"/>
      <c r="C6" s="10"/>
      <c r="D6" s="10"/>
      <c r="E6" s="10"/>
      <c r="F6" s="10"/>
      <c r="G6" s="10"/>
      <c r="H6" s="10"/>
    </row>
    <row r="7" spans="1:22" ht="15.75" customHeight="1" x14ac:dyDescent="0.25">
      <c r="B7" s="11" t="s">
        <v>5</v>
      </c>
      <c r="C7" s="11"/>
      <c r="D7" s="11"/>
      <c r="E7" s="11"/>
      <c r="F7" s="11"/>
      <c r="G7" s="11"/>
      <c r="H7" s="11"/>
    </row>
    <row r="8" spans="1:22" ht="15.75" customHeight="1" x14ac:dyDescent="0.25">
      <c r="B8" s="11" t="s">
        <v>6</v>
      </c>
      <c r="C8" s="11"/>
      <c r="D8" s="11"/>
      <c r="E8" s="11"/>
      <c r="F8" s="11"/>
      <c r="G8" s="11"/>
      <c r="H8" s="11"/>
    </row>
    <row r="9" spans="1:22" ht="15.75" customHeight="1" x14ac:dyDescent="0.25">
      <c r="B9" s="11" t="s">
        <v>7</v>
      </c>
      <c r="C9" s="11"/>
      <c r="D9" s="11"/>
      <c r="E9" s="11"/>
      <c r="F9" s="11"/>
      <c r="G9" s="11"/>
      <c r="H9" s="11"/>
    </row>
    <row r="10" spans="1:22" ht="15.75" customHeight="1" x14ac:dyDescent="0.25">
      <c r="B10" s="11" t="s">
        <v>8</v>
      </c>
      <c r="C10" s="11"/>
      <c r="D10" s="11"/>
      <c r="E10" s="11"/>
      <c r="F10" s="11"/>
      <c r="G10" s="11"/>
      <c r="H10" s="11"/>
    </row>
    <row r="11" spans="1:22" ht="15.75" customHeight="1" x14ac:dyDescent="0.25">
      <c r="B11" s="11" t="s">
        <v>9</v>
      </c>
      <c r="C11" s="11"/>
      <c r="D11" s="11"/>
      <c r="E11" s="11"/>
      <c r="F11" s="11"/>
      <c r="G11" s="11"/>
      <c r="H11" s="11"/>
    </row>
    <row r="13" spans="1:22" ht="24" customHeight="1" x14ac:dyDescent="0.25">
      <c r="A13" s="10" t="s">
        <v>10</v>
      </c>
      <c r="B13" s="10"/>
      <c r="C13" s="10"/>
      <c r="D13" s="10"/>
      <c r="E13" s="10"/>
      <c r="F13" s="10"/>
      <c r="G13" s="10"/>
      <c r="H13" s="10"/>
    </row>
    <row r="14" spans="1:22" ht="43.5" customHeight="1" x14ac:dyDescent="0.25">
      <c r="A14" s="11" t="s">
        <v>11</v>
      </c>
      <c r="B14" s="11"/>
      <c r="C14" s="11"/>
      <c r="D14" s="11"/>
      <c r="E14" s="11"/>
      <c r="F14" s="11"/>
      <c r="G14" s="11"/>
      <c r="H14" s="11"/>
    </row>
    <row r="17" spans="1:8" ht="24" customHeight="1" x14ac:dyDescent="0.25">
      <c r="A17" s="10" t="s">
        <v>12</v>
      </c>
      <c r="B17" s="10"/>
      <c r="C17" s="10"/>
      <c r="D17" s="10"/>
      <c r="E17" s="10"/>
      <c r="F17" s="10"/>
      <c r="G17" s="10"/>
      <c r="H17" s="10"/>
    </row>
    <row r="18" spans="1:8" ht="15" customHeight="1" x14ac:dyDescent="0.25">
      <c r="B18" s="9" t="s">
        <v>13</v>
      </c>
      <c r="C18" s="9"/>
      <c r="D18" s="9"/>
      <c r="E18" s="9"/>
      <c r="F18" s="9"/>
      <c r="G18" s="9"/>
      <c r="H18" s="9"/>
    </row>
    <row r="19" spans="1:8" ht="15" customHeight="1" x14ac:dyDescent="0.25">
      <c r="B19" s="9"/>
      <c r="C19" s="9"/>
      <c r="D19" s="9"/>
      <c r="E19" s="9"/>
      <c r="F19" s="9"/>
      <c r="G19" s="9"/>
      <c r="H19" s="9"/>
    </row>
    <row r="20" spans="1:8" ht="15" customHeight="1" x14ac:dyDescent="0.25">
      <c r="B20" s="9"/>
      <c r="C20" s="9"/>
      <c r="D20" s="9"/>
      <c r="E20" s="9"/>
      <c r="F20" s="9"/>
      <c r="G20" s="9"/>
      <c r="H20" s="9"/>
    </row>
    <row r="21" spans="1:8" ht="15.75" customHeight="1" x14ac:dyDescent="0.25"/>
    <row r="22" spans="1:8" ht="24" customHeight="1" x14ac:dyDescent="0.25">
      <c r="A22" s="10" t="s">
        <v>14</v>
      </c>
      <c r="B22" s="10"/>
      <c r="C22" s="10"/>
      <c r="D22" s="10"/>
      <c r="E22" s="10"/>
      <c r="F22" s="10"/>
      <c r="G22" s="10"/>
      <c r="H22" s="10"/>
    </row>
    <row r="23" spans="1:8" ht="18" customHeight="1" x14ac:dyDescent="0.25">
      <c r="B23" s="8" t="s">
        <v>15</v>
      </c>
      <c r="C23" s="8"/>
      <c r="D23" s="8"/>
      <c r="E23" s="8"/>
      <c r="F23" s="8"/>
      <c r="G23" s="17" t="s">
        <v>16</v>
      </c>
    </row>
    <row r="24" spans="1:8" ht="15" customHeight="1" x14ac:dyDescent="0.25">
      <c r="B24" s="7" t="s">
        <v>17</v>
      </c>
      <c r="C24" s="7"/>
      <c r="D24" s="7"/>
      <c r="E24" s="7"/>
      <c r="F24" s="7"/>
      <c r="G24" s="36"/>
      <c r="H24" s="36"/>
    </row>
    <row r="25" spans="1:8" ht="15" customHeight="1" x14ac:dyDescent="0.25">
      <c r="B25" s="7" t="s">
        <v>18</v>
      </c>
      <c r="C25" s="7"/>
      <c r="D25" s="7"/>
      <c r="E25" s="7"/>
      <c r="F25" s="7"/>
      <c r="G25" s="36"/>
      <c r="H25" s="36"/>
    </row>
    <row r="26" spans="1:8" ht="15" customHeight="1" x14ac:dyDescent="0.25">
      <c r="B26" s="7" t="s">
        <v>19</v>
      </c>
      <c r="C26" s="7"/>
      <c r="D26" s="7"/>
      <c r="E26" s="7"/>
      <c r="F26" s="7"/>
      <c r="G26" s="36"/>
      <c r="H26" s="36"/>
    </row>
    <row r="27" spans="1:8" ht="15" customHeight="1" x14ac:dyDescent="0.25">
      <c r="B27" s="7" t="s">
        <v>20</v>
      </c>
      <c r="C27" s="7"/>
      <c r="D27" s="7"/>
      <c r="E27" s="7"/>
      <c r="F27" s="7"/>
      <c r="G27" s="36"/>
      <c r="H27" s="36"/>
    </row>
    <row r="28" spans="1:8" ht="15.75" customHeight="1" x14ac:dyDescent="0.25"/>
    <row r="29" spans="1:8" ht="15.75" customHeight="1" x14ac:dyDescent="0.25"/>
    <row r="30" spans="1:8" ht="15.75" customHeight="1" x14ac:dyDescent="0.25"/>
    <row r="31" spans="1:8" ht="15.75" customHeight="1" x14ac:dyDescent="0.25"/>
    <row r="32" spans="1: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23">
    <mergeCell ref="B27:F27"/>
    <mergeCell ref="G27:H27"/>
    <mergeCell ref="B24:F24"/>
    <mergeCell ref="G24:H24"/>
    <mergeCell ref="B25:F25"/>
    <mergeCell ref="G25:H25"/>
    <mergeCell ref="B26:F26"/>
    <mergeCell ref="G26:H26"/>
    <mergeCell ref="A14:H14"/>
    <mergeCell ref="A17:H17"/>
    <mergeCell ref="B18:H20"/>
    <mergeCell ref="A22:H22"/>
    <mergeCell ref="B23:F23"/>
    <mergeCell ref="B8:H8"/>
    <mergeCell ref="B9:H9"/>
    <mergeCell ref="B10:H10"/>
    <mergeCell ref="B11:H11"/>
    <mergeCell ref="A13:H13"/>
    <mergeCell ref="A1:H1"/>
    <mergeCell ref="A2:H2"/>
    <mergeCell ref="A4:H4"/>
    <mergeCell ref="A6:H6"/>
    <mergeCell ref="B7:H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8B8B"/>
  </sheetPr>
  <dimension ref="A1:J1000"/>
  <sheetViews>
    <sheetView showGridLines="0" zoomScaleNormal="100" workbookViewId="0">
      <selection activeCell="F12" sqref="F12"/>
    </sheetView>
  </sheetViews>
  <sheetFormatPr defaultColWidth="14.42578125" defaultRowHeight="15" x14ac:dyDescent="0.25"/>
  <cols>
    <col min="1" max="1" width="3" customWidth="1"/>
    <col min="2" max="2" width="30" customWidth="1"/>
    <col min="3" max="3" width="14" customWidth="1"/>
    <col min="4" max="4" width="20"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21</v>
      </c>
      <c r="B1" s="13"/>
      <c r="C1" s="13"/>
      <c r="D1" s="13"/>
      <c r="E1" s="13"/>
      <c r="F1" s="13"/>
      <c r="G1" s="13"/>
      <c r="H1" s="13"/>
    </row>
    <row r="2" spans="1:10" ht="21.75" customHeight="1" x14ac:dyDescent="0.25">
      <c r="A2" s="12" t="s">
        <v>22</v>
      </c>
      <c r="B2" s="12"/>
      <c r="C2" s="12"/>
      <c r="D2" s="12"/>
      <c r="E2" s="12"/>
      <c r="F2" s="12"/>
      <c r="G2" s="12"/>
      <c r="H2" s="12"/>
    </row>
    <row r="4" spans="1:10" ht="33.75" customHeight="1" x14ac:dyDescent="0.25">
      <c r="A4" s="11" t="s">
        <v>23</v>
      </c>
      <c r="B4" s="11"/>
      <c r="C4" s="11"/>
      <c r="D4" s="11"/>
      <c r="E4" s="11"/>
      <c r="F4" s="11"/>
      <c r="G4" s="11"/>
      <c r="H4" s="11"/>
    </row>
    <row r="5" spans="1:10" ht="15" customHeight="1" x14ac:dyDescent="0.25">
      <c r="B5" s="18" t="s">
        <v>24</v>
      </c>
      <c r="C5" s="19">
        <v>10</v>
      </c>
    </row>
    <row r="6" spans="1:10" ht="15" customHeight="1" x14ac:dyDescent="0.25">
      <c r="B6" s="20" t="s">
        <v>25</v>
      </c>
      <c r="C6" s="19">
        <v>20</v>
      </c>
    </row>
    <row r="7" spans="1:10" ht="15" customHeight="1" x14ac:dyDescent="0.25">
      <c r="C7" s="19">
        <v>20</v>
      </c>
    </row>
    <row r="8" spans="1:10" ht="15" customHeight="1" x14ac:dyDescent="0.25">
      <c r="C8" s="19">
        <v>30</v>
      </c>
    </row>
    <row r="9" spans="1:10" ht="15" customHeight="1" x14ac:dyDescent="0.25">
      <c r="C9" s="19">
        <v>40</v>
      </c>
    </row>
    <row r="11" spans="1:10" ht="18" customHeight="1" x14ac:dyDescent="0.25">
      <c r="B11" s="6" t="s">
        <v>26</v>
      </c>
      <c r="C11" s="6"/>
      <c r="D11" s="5" t="s">
        <v>27</v>
      </c>
      <c r="E11" s="5"/>
      <c r="F11" s="21" t="s">
        <v>28</v>
      </c>
      <c r="G11" s="21" t="s">
        <v>29</v>
      </c>
      <c r="J11" s="22" t="s">
        <v>30</v>
      </c>
    </row>
    <row r="12" spans="1:10" ht="30" customHeight="1" x14ac:dyDescent="0.25">
      <c r="B12" s="7" t="s">
        <v>31</v>
      </c>
      <c r="C12" s="7"/>
      <c r="D12" s="4" t="s">
        <v>32</v>
      </c>
      <c r="E12" s="4"/>
      <c r="F12" s="37"/>
      <c r="G12" s="23" t="str">
        <f>IF(F12="","",IFERROR(IF(ABS(F12-120)&lt;0.01,"✓  Correct","✗  Try again"),"✗  Try again"))</f>
        <v/>
      </c>
      <c r="J12" s="3" t="s">
        <v>33</v>
      </c>
    </row>
    <row r="13" spans="1:10" ht="30" customHeight="1" x14ac:dyDescent="0.25">
      <c r="B13" s="7" t="s">
        <v>34</v>
      </c>
      <c r="C13" s="7"/>
      <c r="D13" s="4" t="s">
        <v>35</v>
      </c>
      <c r="E13" s="4"/>
      <c r="F13" s="37"/>
      <c r="G13" s="23" t="str">
        <f>IF(F13="","",IFERROR(IF(ABS(F13-24)&lt;0.01,"✓  Correct","✗  Try again"),"✗  Try again"))</f>
        <v/>
      </c>
      <c r="J13" s="3"/>
    </row>
    <row r="14" spans="1:10" ht="30" customHeight="1" x14ac:dyDescent="0.25">
      <c r="B14" s="7" t="s">
        <v>36</v>
      </c>
      <c r="C14" s="7"/>
      <c r="D14" s="4" t="s">
        <v>37</v>
      </c>
      <c r="E14" s="4"/>
      <c r="F14" s="37"/>
      <c r="G14" s="23" t="str">
        <f>IF(F14="","",IFERROR(IF(ABS(F14-5)&lt;0.01,"✓  Correct","✗  Try again"),"✗  Try again"))</f>
        <v/>
      </c>
      <c r="J14" s="3"/>
    </row>
    <row r="15" spans="1:10" ht="30" customHeight="1" x14ac:dyDescent="0.25">
      <c r="B15" s="7" t="s">
        <v>38</v>
      </c>
      <c r="C15" s="7"/>
      <c r="D15" s="4" t="s">
        <v>39</v>
      </c>
      <c r="E15" s="4"/>
      <c r="F15" s="37"/>
      <c r="G15" s="23" t="str">
        <f>IF(F15="","",IFERROR(IF(ABS(F15-10)&lt;0.01,"✓  Correct","✗  Try again"),"✗  Try again"))</f>
        <v/>
      </c>
      <c r="J15" s="3"/>
    </row>
    <row r="16" spans="1:10" ht="30" customHeight="1" x14ac:dyDescent="0.25">
      <c r="B16" s="7" t="s">
        <v>40</v>
      </c>
      <c r="C16" s="7"/>
      <c r="D16" s="4" t="s">
        <v>41</v>
      </c>
      <c r="E16" s="4"/>
      <c r="F16" s="37"/>
      <c r="G16" s="23" t="str">
        <f>IF(F16="","",IFERROR(IF(ABS(F16-40)&lt;0.01,"✓  Correct","✗  Try again"),"✗  Try again"))</f>
        <v/>
      </c>
      <c r="J16" s="3"/>
    </row>
    <row r="17" spans="1:10" ht="30" customHeight="1" x14ac:dyDescent="0.25">
      <c r="B17" s="7" t="s">
        <v>42</v>
      </c>
      <c r="C17" s="7"/>
      <c r="D17" s="4" t="s">
        <v>43</v>
      </c>
      <c r="E17" s="4"/>
      <c r="F17" s="37"/>
      <c r="G17" s="23" t="str">
        <f>IF(F17="","",IFERROR(IF(ABS(F17-20)&lt;0.01,"✓  Correct","✗  Try again"),"✗  Try again"))</f>
        <v/>
      </c>
      <c r="J17" s="3"/>
    </row>
    <row r="18" spans="1:10" ht="30" customHeight="1" x14ac:dyDescent="0.25">
      <c r="B18" s="7" t="s">
        <v>44</v>
      </c>
      <c r="C18" s="7"/>
      <c r="D18" s="4" t="s">
        <v>45</v>
      </c>
      <c r="E18" s="4"/>
      <c r="F18" s="37"/>
      <c r="G18" s="23" t="str">
        <f>IF(F18="","",IFERROR(IF(ABS(F18-20)&lt;0.01,"✓  Correct","✗  Try again"),"✗  Try again"))</f>
        <v/>
      </c>
      <c r="J18" s="3"/>
    </row>
    <row r="19" spans="1:10" ht="30" customHeight="1" x14ac:dyDescent="0.25">
      <c r="B19" s="7" t="s">
        <v>46</v>
      </c>
      <c r="C19" s="7"/>
      <c r="D19" s="4" t="s">
        <v>47</v>
      </c>
      <c r="E19" s="4"/>
      <c r="F19" s="37"/>
      <c r="G19" s="23" t="str">
        <f>IF(F19="","",IFERROR(IF(ABS(F19-30)&lt;0.01,"✓  Correct","✗  Try again"),"✗  Try again"))</f>
        <v/>
      </c>
      <c r="J19" s="3"/>
    </row>
    <row r="21" spans="1:10" ht="24" customHeight="1" x14ac:dyDescent="0.25">
      <c r="A21" s="2" t="s">
        <v>48</v>
      </c>
      <c r="B21" s="2"/>
      <c r="C21" s="2"/>
      <c r="D21" s="2"/>
      <c r="E21" s="2"/>
      <c r="F21" s="2"/>
      <c r="G21" s="2"/>
      <c r="H21" s="2"/>
    </row>
    <row r="22" spans="1:10" ht="15.75" customHeight="1" x14ac:dyDescent="0.25"/>
    <row r="23" spans="1:10" ht="15.75" customHeight="1" x14ac:dyDescent="0.25"/>
    <row r="24" spans="1:10" ht="15.75" customHeight="1" x14ac:dyDescent="0.25"/>
    <row r="25" spans="1:10" ht="15.75" customHeight="1" x14ac:dyDescent="0.25"/>
    <row r="26" spans="1:10" ht="15.75" customHeight="1" x14ac:dyDescent="0.25"/>
    <row r="27" spans="1:10" ht="15.75" customHeight="1" x14ac:dyDescent="0.25"/>
    <row r="28" spans="1:10" ht="15.75" customHeight="1" x14ac:dyDescent="0.25"/>
    <row r="29" spans="1:10" ht="15.75" customHeight="1" x14ac:dyDescent="0.25"/>
    <row r="30" spans="1:10" ht="15.75" customHeight="1" x14ac:dyDescent="0.25"/>
    <row r="31" spans="1:10" ht="15.75" customHeight="1" x14ac:dyDescent="0.25"/>
    <row r="32" spans="1:10"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3">
    <mergeCell ref="D19:E19"/>
    <mergeCell ref="A21:H21"/>
    <mergeCell ref="B12:C12"/>
    <mergeCell ref="D12:E12"/>
    <mergeCell ref="J12:J19"/>
    <mergeCell ref="B13:C13"/>
    <mergeCell ref="D13:E13"/>
    <mergeCell ref="B14:C14"/>
    <mergeCell ref="D14:E14"/>
    <mergeCell ref="B15:C15"/>
    <mergeCell ref="D15:E15"/>
    <mergeCell ref="B16:C16"/>
    <mergeCell ref="D16:E16"/>
    <mergeCell ref="B17:C17"/>
    <mergeCell ref="D17:E17"/>
    <mergeCell ref="B18:C18"/>
    <mergeCell ref="D18:E18"/>
    <mergeCell ref="B19:C19"/>
    <mergeCell ref="A1:H1"/>
    <mergeCell ref="A2:H2"/>
    <mergeCell ref="A4:H4"/>
    <mergeCell ref="B11:C11"/>
    <mergeCell ref="D11:E11"/>
  </mergeCells>
  <conditionalFormatting sqref="G12:G19">
    <cfRule type="expression" dxfId="9" priority="2">
      <formula>ISNUMBER(SEARCH("Correct",G12))</formula>
    </cfRule>
    <cfRule type="expression" dxfId="8" priority="3">
      <formula>ISNUMBER(SEARCH("Try",G12))</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8C99"/>
  </sheetPr>
  <dimension ref="A1:I1000"/>
  <sheetViews>
    <sheetView showGridLines="0" zoomScaleNormal="100" workbookViewId="0">
      <pane ySplit="4" topLeftCell="A5" activePane="bottomLeft" state="frozen"/>
      <selection pane="bottomLeft" sqref="A1:I1"/>
    </sheetView>
  </sheetViews>
  <sheetFormatPr defaultColWidth="14.42578125" defaultRowHeight="15" x14ac:dyDescent="0.25"/>
  <cols>
    <col min="1" max="1" width="11" customWidth="1"/>
    <col min="2" max="2" width="16" customWidth="1"/>
    <col min="3" max="3" width="17" customWidth="1"/>
    <col min="4" max="4" width="11" customWidth="1"/>
    <col min="5" max="5" width="16" customWidth="1"/>
    <col min="6" max="8" width="14" customWidth="1"/>
    <col min="9" max="9" width="15" customWidth="1"/>
    <col min="10" max="12" width="8.7109375" customWidth="1"/>
  </cols>
  <sheetData>
    <row r="1" spans="1:9" ht="30" customHeight="1" x14ac:dyDescent="0.25">
      <c r="A1" s="13" t="s">
        <v>49</v>
      </c>
      <c r="B1" s="13"/>
      <c r="C1" s="13"/>
      <c r="D1" s="13"/>
      <c r="E1" s="13"/>
      <c r="F1" s="13"/>
      <c r="G1" s="13"/>
      <c r="H1" s="13"/>
      <c r="I1" s="13"/>
    </row>
    <row r="2" spans="1:9" ht="21.75" customHeight="1" x14ac:dyDescent="0.25">
      <c r="A2" s="12" t="s">
        <v>50</v>
      </c>
      <c r="B2" s="12"/>
      <c r="C2" s="12"/>
      <c r="D2" s="12"/>
      <c r="E2" s="12"/>
      <c r="F2" s="12"/>
      <c r="G2" s="12"/>
      <c r="H2" s="12"/>
      <c r="I2" s="12"/>
    </row>
    <row r="4" spans="1:9" ht="19.5" customHeight="1" x14ac:dyDescent="0.25">
      <c r="A4" s="25" t="s">
        <v>51</v>
      </c>
      <c r="B4" s="25" t="s">
        <v>52</v>
      </c>
      <c r="C4" s="25" t="s">
        <v>53</v>
      </c>
      <c r="D4" s="25" t="s">
        <v>54</v>
      </c>
      <c r="E4" s="25" t="s">
        <v>55</v>
      </c>
      <c r="F4" s="25" t="s">
        <v>56</v>
      </c>
      <c r="G4" s="25" t="s">
        <v>57</v>
      </c>
      <c r="H4" s="25" t="s">
        <v>58</v>
      </c>
      <c r="I4" s="25" t="s">
        <v>59</v>
      </c>
    </row>
    <row r="5" spans="1:9" ht="15" customHeight="1" x14ac:dyDescent="0.25">
      <c r="A5" s="26">
        <v>1001</v>
      </c>
      <c r="B5" s="27" t="s">
        <v>60</v>
      </c>
      <c r="C5" s="27" t="s">
        <v>61</v>
      </c>
      <c r="D5" s="27">
        <v>2021</v>
      </c>
      <c r="E5" s="27" t="s">
        <v>62</v>
      </c>
      <c r="F5" s="27" t="s">
        <v>63</v>
      </c>
      <c r="G5" s="28">
        <v>35</v>
      </c>
      <c r="H5" s="27" t="s">
        <v>64</v>
      </c>
      <c r="I5" s="27" t="s">
        <v>65</v>
      </c>
    </row>
    <row r="6" spans="1:9" ht="15" customHeight="1" x14ac:dyDescent="0.25">
      <c r="A6" s="29">
        <v>1002</v>
      </c>
      <c r="B6" s="30" t="s">
        <v>66</v>
      </c>
      <c r="C6" s="30" t="s">
        <v>67</v>
      </c>
      <c r="D6" s="30">
        <v>2020</v>
      </c>
      <c r="E6" s="30" t="s">
        <v>68</v>
      </c>
      <c r="F6" s="30" t="s">
        <v>63</v>
      </c>
      <c r="G6" s="31">
        <v>55</v>
      </c>
      <c r="H6" s="30" t="s">
        <v>64</v>
      </c>
      <c r="I6" s="30" t="s">
        <v>69</v>
      </c>
    </row>
    <row r="7" spans="1:9" ht="15" customHeight="1" x14ac:dyDescent="0.25">
      <c r="A7" s="26">
        <v>1003</v>
      </c>
      <c r="B7" s="27" t="s">
        <v>70</v>
      </c>
      <c r="C7" s="27" t="s">
        <v>71</v>
      </c>
      <c r="D7" s="27">
        <v>2022</v>
      </c>
      <c r="E7" s="27" t="s">
        <v>72</v>
      </c>
      <c r="F7" s="27" t="s">
        <v>73</v>
      </c>
      <c r="G7" s="28">
        <v>20</v>
      </c>
      <c r="H7" s="27" t="s">
        <v>74</v>
      </c>
      <c r="I7" s="27" t="s">
        <v>75</v>
      </c>
    </row>
    <row r="8" spans="1:9" ht="15" customHeight="1" x14ac:dyDescent="0.25">
      <c r="A8" s="29">
        <v>1004</v>
      </c>
      <c r="B8" s="30" t="s">
        <v>76</v>
      </c>
      <c r="C8" s="30" t="s">
        <v>77</v>
      </c>
      <c r="D8" s="30">
        <v>2019</v>
      </c>
      <c r="E8" s="30" t="s">
        <v>72</v>
      </c>
      <c r="F8" s="30" t="s">
        <v>78</v>
      </c>
      <c r="G8" s="31">
        <v>28</v>
      </c>
      <c r="H8" s="30" t="s">
        <v>74</v>
      </c>
      <c r="I8" s="30" t="s">
        <v>75</v>
      </c>
    </row>
    <row r="9" spans="1:9" ht="15" customHeight="1" x14ac:dyDescent="0.25">
      <c r="A9" s="26">
        <v>1005</v>
      </c>
      <c r="B9" s="27" t="s">
        <v>79</v>
      </c>
      <c r="C9" s="27" t="s">
        <v>61</v>
      </c>
      <c r="D9" s="27">
        <v>2023</v>
      </c>
      <c r="E9" s="27" t="s">
        <v>62</v>
      </c>
      <c r="F9" s="27" t="s">
        <v>73</v>
      </c>
      <c r="G9" s="28">
        <v>35</v>
      </c>
      <c r="H9" s="27" t="s">
        <v>64</v>
      </c>
      <c r="I9" s="27" t="s">
        <v>65</v>
      </c>
    </row>
    <row r="10" spans="1:9" ht="15" customHeight="1" x14ac:dyDescent="0.25">
      <c r="A10" s="29">
        <v>1006</v>
      </c>
      <c r="B10" s="30" t="s">
        <v>80</v>
      </c>
      <c r="C10" s="30" t="s">
        <v>61</v>
      </c>
      <c r="D10" s="30">
        <v>2021</v>
      </c>
      <c r="E10" s="30" t="s">
        <v>62</v>
      </c>
      <c r="F10" s="30" t="s">
        <v>63</v>
      </c>
      <c r="G10" s="31">
        <v>35</v>
      </c>
      <c r="H10" s="30" t="s">
        <v>81</v>
      </c>
      <c r="I10" s="30" t="s">
        <v>65</v>
      </c>
    </row>
    <row r="11" spans="1:9" ht="15" customHeight="1" x14ac:dyDescent="0.25">
      <c r="A11" s="26">
        <v>1007</v>
      </c>
      <c r="B11" s="27" t="s">
        <v>82</v>
      </c>
      <c r="C11" s="27" t="s">
        <v>67</v>
      </c>
      <c r="D11" s="27">
        <v>2022</v>
      </c>
      <c r="E11" s="27" t="s">
        <v>68</v>
      </c>
      <c r="F11" s="27" t="s">
        <v>73</v>
      </c>
      <c r="G11" s="28">
        <v>55</v>
      </c>
      <c r="H11" s="27" t="s">
        <v>64</v>
      </c>
      <c r="I11" s="27" t="s">
        <v>69</v>
      </c>
    </row>
    <row r="12" spans="1:9" ht="15" customHeight="1" x14ac:dyDescent="0.25">
      <c r="A12" s="29">
        <v>1008</v>
      </c>
      <c r="B12" s="30" t="s">
        <v>83</v>
      </c>
      <c r="C12" s="30" t="s">
        <v>71</v>
      </c>
      <c r="D12" s="30">
        <v>2020</v>
      </c>
      <c r="E12" s="30" t="s">
        <v>72</v>
      </c>
      <c r="F12" s="30" t="s">
        <v>63</v>
      </c>
      <c r="G12" s="31">
        <v>20</v>
      </c>
      <c r="H12" s="30" t="s">
        <v>74</v>
      </c>
      <c r="I12" s="30" t="s">
        <v>75</v>
      </c>
    </row>
    <row r="13" spans="1:9" ht="15" customHeight="1" x14ac:dyDescent="0.25">
      <c r="A13" s="26">
        <v>1009</v>
      </c>
      <c r="B13" s="27" t="s">
        <v>84</v>
      </c>
      <c r="C13" s="27" t="s">
        <v>61</v>
      </c>
      <c r="D13" s="27">
        <v>2023</v>
      </c>
      <c r="E13" s="27" t="s">
        <v>62</v>
      </c>
      <c r="F13" s="27" t="s">
        <v>73</v>
      </c>
      <c r="G13" s="28">
        <v>35</v>
      </c>
      <c r="H13" s="27" t="s">
        <v>64</v>
      </c>
      <c r="I13" s="27" t="s">
        <v>65</v>
      </c>
    </row>
    <row r="14" spans="1:9" ht="15" customHeight="1" x14ac:dyDescent="0.25">
      <c r="A14" s="29">
        <v>1010</v>
      </c>
      <c r="B14" s="30" t="s">
        <v>85</v>
      </c>
      <c r="C14" s="30" t="s">
        <v>77</v>
      </c>
      <c r="D14" s="30">
        <v>2018</v>
      </c>
      <c r="E14" s="30" t="s">
        <v>72</v>
      </c>
      <c r="F14" s="30" t="s">
        <v>78</v>
      </c>
      <c r="G14" s="31">
        <v>28</v>
      </c>
      <c r="H14" s="30" t="s">
        <v>74</v>
      </c>
      <c r="I14" s="30" t="s">
        <v>75</v>
      </c>
    </row>
    <row r="15" spans="1:9" ht="15" customHeight="1" x14ac:dyDescent="0.25">
      <c r="A15" s="26">
        <v>1011</v>
      </c>
      <c r="B15" s="27" t="s">
        <v>86</v>
      </c>
      <c r="C15" s="27" t="s">
        <v>61</v>
      </c>
      <c r="D15" s="27">
        <v>2022</v>
      </c>
      <c r="E15" s="27" t="s">
        <v>62</v>
      </c>
      <c r="F15" s="27" t="s">
        <v>73</v>
      </c>
      <c r="G15" s="28">
        <v>35</v>
      </c>
      <c r="H15" s="27" t="s">
        <v>64</v>
      </c>
      <c r="I15" s="27" t="s">
        <v>65</v>
      </c>
    </row>
    <row r="16" spans="1:9" ht="15" customHeight="1" x14ac:dyDescent="0.25">
      <c r="A16" s="29">
        <v>1012</v>
      </c>
      <c r="B16" s="30" t="s">
        <v>87</v>
      </c>
      <c r="C16" s="30" t="s">
        <v>67</v>
      </c>
      <c r="D16" s="30">
        <v>2021</v>
      </c>
      <c r="E16" s="30" t="s">
        <v>68</v>
      </c>
      <c r="F16" s="30" t="s">
        <v>63</v>
      </c>
      <c r="G16" s="31">
        <v>55</v>
      </c>
      <c r="H16" s="30" t="s">
        <v>81</v>
      </c>
      <c r="I16" s="30" t="s">
        <v>69</v>
      </c>
    </row>
    <row r="17" spans="1:9" ht="15" customHeight="1" x14ac:dyDescent="0.25">
      <c r="A17" s="26">
        <v>1013</v>
      </c>
      <c r="B17" s="27" t="s">
        <v>88</v>
      </c>
      <c r="C17" s="27" t="s">
        <v>71</v>
      </c>
      <c r="D17" s="27">
        <v>2023</v>
      </c>
      <c r="E17" s="27" t="s">
        <v>72</v>
      </c>
      <c r="F17" s="27" t="s">
        <v>73</v>
      </c>
      <c r="G17" s="28">
        <v>20</v>
      </c>
      <c r="H17" s="27" t="s">
        <v>74</v>
      </c>
      <c r="I17" s="27" t="s">
        <v>75</v>
      </c>
    </row>
    <row r="18" spans="1:9" ht="15" customHeight="1" x14ac:dyDescent="0.25">
      <c r="A18" s="29">
        <v>1014</v>
      </c>
      <c r="B18" s="30" t="s">
        <v>89</v>
      </c>
      <c r="C18" s="30" t="s">
        <v>61</v>
      </c>
      <c r="D18" s="30">
        <v>2020</v>
      </c>
      <c r="E18" s="30" t="s">
        <v>62</v>
      </c>
      <c r="F18" s="30" t="s">
        <v>63</v>
      </c>
      <c r="G18" s="31">
        <v>35</v>
      </c>
      <c r="H18" s="30" t="s">
        <v>64</v>
      </c>
      <c r="I18" s="30" t="s">
        <v>65</v>
      </c>
    </row>
    <row r="19" spans="1:9" ht="15" customHeight="1" x14ac:dyDescent="0.25">
      <c r="A19" s="26">
        <v>1015</v>
      </c>
      <c r="B19" s="27" t="s">
        <v>90</v>
      </c>
      <c r="C19" s="27" t="s">
        <v>61</v>
      </c>
      <c r="D19" s="27">
        <v>2022</v>
      </c>
      <c r="E19" s="27" t="s">
        <v>62</v>
      </c>
      <c r="F19" s="27" t="s">
        <v>73</v>
      </c>
      <c r="G19" s="28">
        <v>350</v>
      </c>
      <c r="H19" s="27" t="s">
        <v>74</v>
      </c>
      <c r="I19" s="27" t="s">
        <v>91</v>
      </c>
    </row>
    <row r="20" spans="1:9" ht="15" customHeight="1" x14ac:dyDescent="0.25">
      <c r="A20" s="29">
        <v>1016</v>
      </c>
      <c r="B20" s="30" t="s">
        <v>92</v>
      </c>
      <c r="C20" s="30" t="s">
        <v>77</v>
      </c>
      <c r="D20" s="30">
        <v>2019</v>
      </c>
      <c r="E20" s="30" t="s">
        <v>72</v>
      </c>
      <c r="F20" s="30" t="s">
        <v>78</v>
      </c>
      <c r="G20" s="31">
        <v>28</v>
      </c>
      <c r="H20" s="30" t="s">
        <v>74</v>
      </c>
      <c r="I20" s="30" t="s">
        <v>75</v>
      </c>
    </row>
    <row r="21" spans="1:9" ht="15.75" customHeight="1" x14ac:dyDescent="0.25">
      <c r="A21" s="26">
        <v>1017</v>
      </c>
      <c r="B21" s="27" t="s">
        <v>93</v>
      </c>
      <c r="C21" s="27" t="s">
        <v>61</v>
      </c>
      <c r="D21" s="27">
        <v>2023</v>
      </c>
      <c r="E21" s="27" t="s">
        <v>62</v>
      </c>
      <c r="F21" s="27" t="s">
        <v>73</v>
      </c>
      <c r="G21" s="28">
        <v>35</v>
      </c>
      <c r="H21" s="27" t="s">
        <v>64</v>
      </c>
      <c r="I21" s="27" t="s">
        <v>65</v>
      </c>
    </row>
    <row r="22" spans="1:9" ht="15.75" customHeight="1" x14ac:dyDescent="0.25">
      <c r="A22" s="29">
        <v>1018</v>
      </c>
      <c r="B22" s="30" t="s">
        <v>94</v>
      </c>
      <c r="C22" s="30" t="s">
        <v>67</v>
      </c>
      <c r="D22" s="30">
        <v>2021</v>
      </c>
      <c r="E22" s="30" t="s">
        <v>68</v>
      </c>
      <c r="F22" s="30" t="s">
        <v>63</v>
      </c>
      <c r="G22" s="31">
        <v>55</v>
      </c>
      <c r="H22" s="30" t="s">
        <v>64</v>
      </c>
      <c r="I22" s="30" t="s">
        <v>69</v>
      </c>
    </row>
    <row r="23" spans="1:9" ht="15.75" customHeight="1" x14ac:dyDescent="0.25">
      <c r="A23" s="26">
        <v>1019</v>
      </c>
      <c r="B23" s="27" t="s">
        <v>95</v>
      </c>
      <c r="C23" s="27" t="s">
        <v>71</v>
      </c>
      <c r="D23" s="27">
        <v>2022</v>
      </c>
      <c r="E23" s="27" t="s">
        <v>72</v>
      </c>
      <c r="F23" s="27" t="s">
        <v>73</v>
      </c>
      <c r="G23" s="28">
        <v>20</v>
      </c>
      <c r="H23" s="27" t="s">
        <v>74</v>
      </c>
      <c r="I23" s="27" t="s">
        <v>75</v>
      </c>
    </row>
    <row r="24" spans="1:9" ht="15.75" customHeight="1" x14ac:dyDescent="0.25">
      <c r="A24" s="29">
        <v>1020</v>
      </c>
      <c r="B24" s="30" t="s">
        <v>96</v>
      </c>
      <c r="C24" s="30" t="s">
        <v>61</v>
      </c>
      <c r="D24" s="30">
        <v>2020</v>
      </c>
      <c r="E24" s="30" t="s">
        <v>62</v>
      </c>
      <c r="F24" s="30" t="s">
        <v>63</v>
      </c>
      <c r="G24" s="31">
        <v>35</v>
      </c>
      <c r="H24" s="30" t="s">
        <v>81</v>
      </c>
      <c r="I24" s="30" t="s">
        <v>65</v>
      </c>
    </row>
    <row r="25" spans="1:9" ht="15.75" customHeight="1" x14ac:dyDescent="0.25">
      <c r="A25" s="26">
        <v>1021</v>
      </c>
      <c r="B25" s="27" t="s">
        <v>97</v>
      </c>
      <c r="C25" s="27" t="s">
        <v>61</v>
      </c>
      <c r="D25" s="27">
        <v>2023</v>
      </c>
      <c r="E25" s="27" t="s">
        <v>62</v>
      </c>
      <c r="F25" s="27" t="s">
        <v>73</v>
      </c>
      <c r="G25" s="27"/>
      <c r="H25" s="27"/>
      <c r="I25" s="27"/>
    </row>
    <row r="26" spans="1:9" ht="15.75" customHeight="1" x14ac:dyDescent="0.25">
      <c r="A26" s="29">
        <v>1022</v>
      </c>
      <c r="B26" s="30" t="s">
        <v>98</v>
      </c>
      <c r="C26" s="30" t="s">
        <v>77</v>
      </c>
      <c r="D26" s="30">
        <v>2021</v>
      </c>
      <c r="E26" s="30" t="s">
        <v>72</v>
      </c>
      <c r="F26" s="30" t="s">
        <v>63</v>
      </c>
      <c r="G26" s="30"/>
      <c r="H26" s="30"/>
      <c r="I26" s="30"/>
    </row>
    <row r="27" spans="1:9" ht="15.75" customHeight="1" x14ac:dyDescent="0.25">
      <c r="A27" s="26">
        <v>1023</v>
      </c>
      <c r="B27" s="27" t="s">
        <v>99</v>
      </c>
      <c r="C27" s="27" t="s">
        <v>61</v>
      </c>
      <c r="D27" s="27">
        <v>2022</v>
      </c>
      <c r="E27" s="27" t="s">
        <v>62</v>
      </c>
      <c r="F27" s="27" t="s">
        <v>73</v>
      </c>
      <c r="G27" s="27"/>
      <c r="H27" s="27"/>
      <c r="I27" s="27"/>
    </row>
    <row r="28" spans="1:9" ht="15.75" customHeight="1" x14ac:dyDescent="0.25"/>
    <row r="29" spans="1:9" ht="15.75" customHeight="1" x14ac:dyDescent="0.25"/>
    <row r="30" spans="1:9" ht="15.75" customHeight="1" x14ac:dyDescent="0.25"/>
    <row r="31" spans="1:9" ht="15.75" customHeight="1" x14ac:dyDescent="0.25"/>
    <row r="32" spans="1:9"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I27" xr:uid="{00000000-0009-0000-0000-000002000000}"/>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8C99"/>
  </sheetPr>
  <dimension ref="A1:E1000"/>
  <sheetViews>
    <sheetView showGridLines="0" zoomScaleNormal="100" workbookViewId="0">
      <pane ySplit="4" topLeftCell="A5" activePane="bottomLeft" state="frozen"/>
      <selection pane="bottomLeft" sqref="A1:E1"/>
    </sheetView>
  </sheetViews>
  <sheetFormatPr defaultColWidth="14.42578125" defaultRowHeight="15" x14ac:dyDescent="0.25"/>
  <cols>
    <col min="1" max="1" width="12" customWidth="1"/>
    <col min="2" max="3" width="11" customWidth="1"/>
    <col min="4" max="4" width="16.7109375" customWidth="1"/>
    <col min="5" max="5" width="15" customWidth="1"/>
    <col min="6" max="12" width="8.7109375" customWidth="1"/>
  </cols>
  <sheetData>
    <row r="1" spans="1:5" ht="30" customHeight="1" x14ac:dyDescent="0.25">
      <c r="A1" s="13" t="s">
        <v>100</v>
      </c>
      <c r="B1" s="13"/>
      <c r="C1" s="13"/>
      <c r="D1" s="13"/>
      <c r="E1" s="13"/>
    </row>
    <row r="2" spans="1:5" ht="21.75" customHeight="1" x14ac:dyDescent="0.25">
      <c r="A2" s="12" t="s">
        <v>101</v>
      </c>
      <c r="B2" s="12"/>
      <c r="C2" s="12"/>
      <c r="D2" s="12"/>
      <c r="E2" s="12"/>
    </row>
    <row r="4" spans="1:5" ht="19.5" customHeight="1" x14ac:dyDescent="0.25">
      <c r="A4" s="25" t="s">
        <v>102</v>
      </c>
      <c r="B4" s="25" t="s">
        <v>51</v>
      </c>
      <c r="C4" s="25" t="s">
        <v>103</v>
      </c>
      <c r="D4" s="25" t="s">
        <v>104</v>
      </c>
      <c r="E4" s="25" t="s">
        <v>105</v>
      </c>
    </row>
    <row r="5" spans="1:5" ht="15" customHeight="1" x14ac:dyDescent="0.25">
      <c r="A5" s="26">
        <v>5001</v>
      </c>
      <c r="B5" s="27">
        <v>1001</v>
      </c>
      <c r="C5" s="27" t="s">
        <v>106</v>
      </c>
      <c r="D5" s="32">
        <v>45299</v>
      </c>
      <c r="E5" s="27">
        <v>45</v>
      </c>
    </row>
    <row r="6" spans="1:5" ht="15" customHeight="1" x14ac:dyDescent="0.25">
      <c r="A6" s="29">
        <v>5002</v>
      </c>
      <c r="B6" s="30">
        <v>1003</v>
      </c>
      <c r="C6" s="30" t="s">
        <v>107</v>
      </c>
      <c r="D6" s="33">
        <v>45299</v>
      </c>
      <c r="E6" s="30">
        <v>60</v>
      </c>
    </row>
    <row r="7" spans="1:5" ht="15" customHeight="1" x14ac:dyDescent="0.25">
      <c r="A7" s="26">
        <v>5003</v>
      </c>
      <c r="B7" s="27">
        <v>1005</v>
      </c>
      <c r="C7" s="27" t="s">
        <v>108</v>
      </c>
      <c r="D7" s="32">
        <v>45299</v>
      </c>
      <c r="E7" s="27">
        <v>30</v>
      </c>
    </row>
    <row r="8" spans="1:5" ht="15" customHeight="1" x14ac:dyDescent="0.25">
      <c r="A8" s="29">
        <v>5004</v>
      </c>
      <c r="B8" s="30">
        <v>1002</v>
      </c>
      <c r="C8" s="30" t="s">
        <v>106</v>
      </c>
      <c r="D8" s="33">
        <v>45300</v>
      </c>
      <c r="E8" s="30">
        <v>45</v>
      </c>
    </row>
    <row r="9" spans="1:5" ht="15" customHeight="1" x14ac:dyDescent="0.25">
      <c r="A9" s="26">
        <v>5005</v>
      </c>
      <c r="B9" s="27">
        <v>1010</v>
      </c>
      <c r="C9" s="27" t="s">
        <v>109</v>
      </c>
      <c r="D9" s="32">
        <v>45300</v>
      </c>
      <c r="E9" s="27">
        <v>60</v>
      </c>
    </row>
    <row r="10" spans="1:5" ht="15" customHeight="1" x14ac:dyDescent="0.25">
      <c r="A10" s="29">
        <v>5006</v>
      </c>
      <c r="B10" s="30">
        <v>1006</v>
      </c>
      <c r="C10" s="30" t="s">
        <v>110</v>
      </c>
      <c r="D10" s="33">
        <v>45300</v>
      </c>
      <c r="E10" s="30">
        <v>40</v>
      </c>
    </row>
    <row r="11" spans="1:5" ht="15" customHeight="1" x14ac:dyDescent="0.25">
      <c r="A11" s="26">
        <v>5007</v>
      </c>
      <c r="B11" s="27">
        <v>1009</v>
      </c>
      <c r="C11" s="27" t="s">
        <v>108</v>
      </c>
      <c r="D11" s="32">
        <v>45301</v>
      </c>
      <c r="E11" s="27">
        <v>30</v>
      </c>
    </row>
    <row r="12" spans="1:5" ht="15" customHeight="1" x14ac:dyDescent="0.25">
      <c r="A12" s="29">
        <v>5008</v>
      </c>
      <c r="B12" s="30">
        <v>1014</v>
      </c>
      <c r="C12" s="30" t="s">
        <v>106</v>
      </c>
      <c r="D12" s="33">
        <v>45301</v>
      </c>
      <c r="E12" s="30">
        <v>45</v>
      </c>
    </row>
    <row r="13" spans="1:5" ht="15" customHeight="1" x14ac:dyDescent="0.25">
      <c r="A13" s="26">
        <v>5009</v>
      </c>
      <c r="B13" s="27">
        <v>1004</v>
      </c>
      <c r="C13" s="27" t="s">
        <v>109</v>
      </c>
      <c r="D13" s="32">
        <v>45301</v>
      </c>
      <c r="E13" s="27">
        <v>60</v>
      </c>
    </row>
    <row r="14" spans="1:5" ht="15" customHeight="1" x14ac:dyDescent="0.25">
      <c r="A14" s="29">
        <v>5010</v>
      </c>
      <c r="B14" s="30">
        <v>1011</v>
      </c>
      <c r="C14" s="30" t="s">
        <v>107</v>
      </c>
      <c r="D14" s="33">
        <v>45301</v>
      </c>
      <c r="E14" s="30">
        <v>60</v>
      </c>
    </row>
    <row r="15" spans="1:5" ht="15" customHeight="1" x14ac:dyDescent="0.25">
      <c r="A15" s="26">
        <v>5011</v>
      </c>
      <c r="B15" s="27">
        <v>1001</v>
      </c>
      <c r="C15" s="27" t="s">
        <v>108</v>
      </c>
      <c r="D15" s="32">
        <v>45302</v>
      </c>
      <c r="E15" s="27">
        <v>30</v>
      </c>
    </row>
    <row r="16" spans="1:5" ht="15" customHeight="1" x14ac:dyDescent="0.25">
      <c r="A16" s="29">
        <v>5012</v>
      </c>
      <c r="B16" s="30">
        <v>1017</v>
      </c>
      <c r="C16" s="30" t="s">
        <v>106</v>
      </c>
      <c r="D16" s="33">
        <v>45302</v>
      </c>
      <c r="E16" s="30">
        <v>45</v>
      </c>
    </row>
    <row r="17" spans="1:5" ht="15" customHeight="1" x14ac:dyDescent="0.25">
      <c r="A17" s="26">
        <v>5013</v>
      </c>
      <c r="B17" s="27">
        <v>1020</v>
      </c>
      <c r="C17" s="27" t="s">
        <v>110</v>
      </c>
      <c r="D17" s="32">
        <v>45302</v>
      </c>
      <c r="E17" s="27">
        <v>40</v>
      </c>
    </row>
    <row r="18" spans="1:5" ht="15" customHeight="1" x14ac:dyDescent="0.25">
      <c r="A18" s="29">
        <v>5014</v>
      </c>
      <c r="B18" s="30">
        <v>1007</v>
      </c>
      <c r="C18" s="30" t="s">
        <v>107</v>
      </c>
      <c r="D18" s="33">
        <v>45303</v>
      </c>
      <c r="E18" s="30">
        <v>60</v>
      </c>
    </row>
    <row r="19" spans="1:5" ht="15" customHeight="1" x14ac:dyDescent="0.25">
      <c r="A19" s="26">
        <v>5015</v>
      </c>
      <c r="B19" s="27">
        <v>1015</v>
      </c>
      <c r="C19" s="27" t="s">
        <v>108</v>
      </c>
      <c r="D19" s="32">
        <v>45303</v>
      </c>
      <c r="E19" s="27">
        <v>30</v>
      </c>
    </row>
    <row r="20" spans="1:5" ht="15" customHeight="1" x14ac:dyDescent="0.25">
      <c r="A20" s="29">
        <v>5016</v>
      </c>
      <c r="B20" s="30">
        <v>1003</v>
      </c>
      <c r="C20" s="30" t="s">
        <v>106</v>
      </c>
      <c r="D20" s="33">
        <v>45303</v>
      </c>
      <c r="E20" s="30">
        <v>45</v>
      </c>
    </row>
    <row r="21" spans="1:5" ht="15.75" customHeight="1" x14ac:dyDescent="0.25">
      <c r="A21" s="26">
        <v>5017</v>
      </c>
      <c r="B21" s="27">
        <v>1021</v>
      </c>
      <c r="C21" s="27" t="s">
        <v>109</v>
      </c>
      <c r="D21" s="32">
        <v>45303</v>
      </c>
      <c r="E21" s="27">
        <v>60</v>
      </c>
    </row>
    <row r="22" spans="1:5" ht="15.75" customHeight="1" x14ac:dyDescent="0.25">
      <c r="A22" s="29">
        <v>5018</v>
      </c>
      <c r="B22" s="30">
        <v>1012</v>
      </c>
      <c r="C22" s="30" t="s">
        <v>108</v>
      </c>
      <c r="D22" s="33">
        <v>45304</v>
      </c>
      <c r="E22" s="30">
        <v>30</v>
      </c>
    </row>
    <row r="23" spans="1:5" ht="15.75" customHeight="1" x14ac:dyDescent="0.25">
      <c r="A23" s="26">
        <v>5019</v>
      </c>
      <c r="B23" s="27">
        <v>1016</v>
      </c>
      <c r="C23" s="27" t="s">
        <v>106</v>
      </c>
      <c r="D23" s="32">
        <v>45304</v>
      </c>
      <c r="E23" s="27">
        <v>45</v>
      </c>
    </row>
    <row r="24" spans="1:5" ht="15.75" customHeight="1" x14ac:dyDescent="0.25">
      <c r="A24" s="29">
        <v>5020</v>
      </c>
      <c r="B24" s="30">
        <v>1009</v>
      </c>
      <c r="C24" s="30" t="s">
        <v>107</v>
      </c>
      <c r="D24" s="33">
        <v>45304</v>
      </c>
      <c r="E24" s="30">
        <v>60</v>
      </c>
    </row>
    <row r="25" spans="1:5" ht="15.75" customHeight="1" x14ac:dyDescent="0.25">
      <c r="A25" s="26">
        <v>5021</v>
      </c>
      <c r="B25" s="27">
        <v>1002</v>
      </c>
      <c r="C25" s="27" t="s">
        <v>106</v>
      </c>
      <c r="D25" s="32">
        <v>45327</v>
      </c>
      <c r="E25" s="27">
        <v>45</v>
      </c>
    </row>
    <row r="26" spans="1:5" ht="15.75" customHeight="1" x14ac:dyDescent="0.25">
      <c r="A26" s="29">
        <v>5022</v>
      </c>
      <c r="B26" s="30">
        <v>1009</v>
      </c>
      <c r="C26" s="30" t="s">
        <v>108</v>
      </c>
      <c r="D26" s="33">
        <v>45328</v>
      </c>
      <c r="E26" s="30">
        <v>30</v>
      </c>
    </row>
    <row r="27" spans="1:5" ht="15.75" customHeight="1" x14ac:dyDescent="0.25">
      <c r="A27" s="26">
        <v>5023</v>
      </c>
      <c r="B27" s="27">
        <v>1003</v>
      </c>
      <c r="C27" s="27" t="s">
        <v>107</v>
      </c>
      <c r="D27" s="32">
        <v>45328</v>
      </c>
      <c r="E27" s="27">
        <v>60</v>
      </c>
    </row>
    <row r="28" spans="1:5" ht="15.75" customHeight="1" x14ac:dyDescent="0.25">
      <c r="A28" s="29">
        <v>5024</v>
      </c>
      <c r="B28" s="30">
        <v>1005</v>
      </c>
      <c r="C28" s="30" t="s">
        <v>106</v>
      </c>
      <c r="D28" s="33">
        <v>45329</v>
      </c>
      <c r="E28" s="30">
        <v>45</v>
      </c>
    </row>
    <row r="29" spans="1:5" ht="15.75" customHeight="1" x14ac:dyDescent="0.25">
      <c r="A29" s="26">
        <v>5025</v>
      </c>
      <c r="B29" s="27">
        <v>1010</v>
      </c>
      <c r="C29" s="27" t="s">
        <v>109</v>
      </c>
      <c r="D29" s="32">
        <v>45330</v>
      </c>
      <c r="E29" s="27">
        <v>60</v>
      </c>
    </row>
    <row r="30" spans="1:5" ht="15.75" customHeight="1" x14ac:dyDescent="0.25">
      <c r="A30" s="29">
        <v>5026</v>
      </c>
      <c r="B30" s="30">
        <v>1001</v>
      </c>
      <c r="C30" s="30" t="s">
        <v>106</v>
      </c>
      <c r="D30" s="33">
        <v>45331</v>
      </c>
      <c r="E30" s="30">
        <v>45</v>
      </c>
    </row>
    <row r="31" spans="1:5" ht="15.75" customHeight="1" x14ac:dyDescent="0.25">
      <c r="A31" s="26">
        <v>5027</v>
      </c>
      <c r="B31" s="27">
        <v>1014</v>
      </c>
      <c r="C31" s="27" t="s">
        <v>108</v>
      </c>
      <c r="D31" s="32">
        <v>45331</v>
      </c>
      <c r="E31" s="27">
        <v>30</v>
      </c>
    </row>
    <row r="32" spans="1:5" ht="15.75" customHeight="1" x14ac:dyDescent="0.25">
      <c r="A32" s="29">
        <v>5028</v>
      </c>
      <c r="B32" s="30">
        <v>1006</v>
      </c>
      <c r="C32" s="30" t="s">
        <v>110</v>
      </c>
      <c r="D32" s="33">
        <v>45334</v>
      </c>
      <c r="E32" s="30">
        <v>40</v>
      </c>
    </row>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autoFilter ref="A4:E32" xr:uid="{00000000-0009-0000-0000-000003000000}"/>
  <mergeCells count="2">
    <mergeCell ref="A1:E1"/>
    <mergeCell ref="A2:E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J1000"/>
  <sheetViews>
    <sheetView showGridLines="0" zoomScaleNormal="100" workbookViewId="0">
      <selection activeCell="F7" sqref="F7"/>
    </sheetView>
  </sheetViews>
  <sheetFormatPr defaultColWidth="14.42578125" defaultRowHeight="15" x14ac:dyDescent="0.25"/>
  <cols>
    <col min="1" max="1" width="3" customWidth="1"/>
    <col min="2" max="2" width="30" customWidth="1"/>
    <col min="3" max="3" width="14" customWidth="1"/>
    <col min="4" max="4" width="2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111</v>
      </c>
      <c r="B1" s="13"/>
      <c r="C1" s="13"/>
      <c r="D1" s="13"/>
      <c r="E1" s="13"/>
      <c r="F1" s="13"/>
      <c r="G1" s="13"/>
      <c r="H1" s="13"/>
    </row>
    <row r="2" spans="1:10" ht="21.75" customHeight="1" x14ac:dyDescent="0.25">
      <c r="A2" s="12" t="s">
        <v>112</v>
      </c>
      <c r="B2" s="12"/>
      <c r="C2" s="12"/>
      <c r="D2" s="12"/>
      <c r="E2" s="12"/>
      <c r="F2" s="12"/>
      <c r="G2" s="12"/>
      <c r="H2" s="12"/>
    </row>
    <row r="4" spans="1:10" ht="33.75" customHeight="1" x14ac:dyDescent="0.25">
      <c r="A4" s="11" t="s">
        <v>113</v>
      </c>
      <c r="B4" s="11"/>
      <c r="C4" s="11"/>
      <c r="D4" s="11"/>
      <c r="E4" s="11"/>
      <c r="F4" s="11"/>
      <c r="G4" s="11"/>
      <c r="H4" s="11"/>
    </row>
    <row r="6" spans="1:10" ht="18" customHeight="1" x14ac:dyDescent="0.25">
      <c r="B6" s="6" t="s">
        <v>26</v>
      </c>
      <c r="C6" s="6"/>
      <c r="D6" s="5" t="s">
        <v>27</v>
      </c>
      <c r="E6" s="5"/>
      <c r="F6" s="21" t="s">
        <v>28</v>
      </c>
      <c r="G6" s="21" t="s">
        <v>29</v>
      </c>
      <c r="J6" s="22" t="s">
        <v>30</v>
      </c>
    </row>
    <row r="7" spans="1:10" ht="30" customHeight="1" x14ac:dyDescent="0.25">
      <c r="B7" s="7" t="s">
        <v>114</v>
      </c>
      <c r="C7" s="7"/>
      <c r="D7" s="4" t="s">
        <v>115</v>
      </c>
      <c r="E7" s="4"/>
      <c r="F7" s="37"/>
      <c r="G7" s="23" t="str">
        <f>IF(F7="","",IFERROR(IF(ABS(F7-1014)&lt;0.01,"✓  Correct","✗  Try again"),"✗  Try again"))</f>
        <v/>
      </c>
      <c r="J7" s="3" t="s">
        <v>116</v>
      </c>
    </row>
    <row r="8" spans="1:10" ht="30" customHeight="1" x14ac:dyDescent="0.25">
      <c r="B8" s="7" t="s">
        <v>117</v>
      </c>
      <c r="C8" s="7"/>
      <c r="D8" s="4" t="s">
        <v>118</v>
      </c>
      <c r="E8" s="4"/>
      <c r="F8" s="37"/>
      <c r="G8" s="23" t="str">
        <f>IF(F8="","",IFERROR(IF(ABS(F8-20)&lt;0.01,"✓  Correct","✗  Try again"),"✗  Try again"))</f>
        <v/>
      </c>
      <c r="J8" s="3"/>
    </row>
    <row r="9" spans="1:10" ht="30" customHeight="1" x14ac:dyDescent="0.25">
      <c r="B9" s="7" t="s">
        <v>119</v>
      </c>
      <c r="C9" s="7"/>
      <c r="D9" s="4" t="s">
        <v>120</v>
      </c>
      <c r="E9" s="4"/>
      <c r="F9" s="37"/>
      <c r="G9" s="23" t="str">
        <f>IF(F9="","",IFERROR(IF(ABS(F9-23)&lt;0.01,"✓  Correct","✗  Try again"),"✗  Try again"))</f>
        <v/>
      </c>
      <c r="J9" s="3"/>
    </row>
    <row r="10" spans="1:10" ht="30" customHeight="1" x14ac:dyDescent="0.25">
      <c r="B10" s="7" t="s">
        <v>121</v>
      </c>
      <c r="C10" s="7"/>
      <c r="D10" s="4" t="s">
        <v>122</v>
      </c>
      <c r="E10" s="4"/>
      <c r="F10" s="37"/>
      <c r="G10" s="23" t="str">
        <f>IF(F10="","",IFERROR(IF(ABS(F10-1275)&lt;0.01,"✓  Correct","✗  Try again"),"✗  Try again"))</f>
        <v/>
      </c>
      <c r="J10" s="3"/>
    </row>
    <row r="11" spans="1:10" ht="30" customHeight="1" x14ac:dyDescent="0.25">
      <c r="B11" s="7" t="s">
        <v>123</v>
      </c>
      <c r="C11" s="7"/>
      <c r="D11" s="4" t="s">
        <v>124</v>
      </c>
      <c r="E11" s="4"/>
      <c r="F11" s="37"/>
      <c r="G11" s="23" t="str">
        <f>IF(F11="","",IFERROR(IF(ABS(F11-28)&lt;0.01,"✓  Correct","✗  Try again"),"✗  Try again"))</f>
        <v/>
      </c>
      <c r="J11" s="3"/>
    </row>
    <row r="13" spans="1:10" ht="30" customHeight="1" x14ac:dyDescent="0.25">
      <c r="A13" s="1" t="s">
        <v>125</v>
      </c>
      <c r="B13" s="1"/>
      <c r="C13" s="1"/>
      <c r="D13" s="1"/>
      <c r="E13" s="1"/>
      <c r="F13" s="1"/>
      <c r="G13" s="1"/>
      <c r="H13"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A13:H13"/>
    <mergeCell ref="B7:C7"/>
    <mergeCell ref="D7:E7"/>
    <mergeCell ref="J7:J11"/>
    <mergeCell ref="B8:C8"/>
    <mergeCell ref="D8:E8"/>
    <mergeCell ref="B9:C9"/>
    <mergeCell ref="D9:E9"/>
    <mergeCell ref="B10:C10"/>
    <mergeCell ref="D10:E10"/>
    <mergeCell ref="B11:C11"/>
    <mergeCell ref="D11:E11"/>
    <mergeCell ref="A1:H1"/>
    <mergeCell ref="A2:H2"/>
    <mergeCell ref="A4:H4"/>
    <mergeCell ref="B6:C6"/>
    <mergeCell ref="D6:E6"/>
  </mergeCells>
  <conditionalFormatting sqref="G7:G11">
    <cfRule type="expression" dxfId="7" priority="2">
      <formula>ISNUMBER(SEARCH("Correct",G7))</formula>
    </cfRule>
    <cfRule type="expression" dxfId="6" priority="3">
      <formula>ISNUMBER(SEARCH("Try",G7))</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J1000"/>
  <sheetViews>
    <sheetView showGridLines="0" zoomScaleNormal="100" workbookViewId="0">
      <selection activeCell="F7" sqref="F7"/>
    </sheetView>
  </sheetViews>
  <sheetFormatPr defaultColWidth="14.42578125" defaultRowHeight="15" x14ac:dyDescent="0.25"/>
  <cols>
    <col min="1" max="1" width="3" customWidth="1"/>
    <col min="2" max="2" width="30" customWidth="1"/>
    <col min="3" max="3" width="14" customWidth="1"/>
    <col min="4" max="4" width="2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126</v>
      </c>
      <c r="B1" s="13"/>
      <c r="C1" s="13"/>
      <c r="D1" s="13"/>
      <c r="E1" s="13"/>
      <c r="F1" s="13"/>
      <c r="G1" s="13"/>
      <c r="H1" s="13"/>
    </row>
    <row r="2" spans="1:10" ht="21.75" customHeight="1" x14ac:dyDescent="0.25">
      <c r="A2" s="12" t="s">
        <v>127</v>
      </c>
      <c r="B2" s="12"/>
      <c r="C2" s="12"/>
      <c r="D2" s="12"/>
      <c r="E2" s="12"/>
      <c r="F2" s="12"/>
      <c r="G2" s="12"/>
      <c r="H2" s="12"/>
    </row>
    <row r="4" spans="1:10" ht="27.75" customHeight="1" x14ac:dyDescent="0.25">
      <c r="A4" s="11" t="s">
        <v>128</v>
      </c>
      <c r="B4" s="11"/>
      <c r="C4" s="11"/>
      <c r="D4" s="11"/>
      <c r="E4" s="11"/>
      <c r="F4" s="11"/>
      <c r="G4" s="11"/>
      <c r="H4" s="11"/>
    </row>
    <row r="6" spans="1:10" ht="18" customHeight="1" x14ac:dyDescent="0.25">
      <c r="B6" s="6" t="s">
        <v>26</v>
      </c>
      <c r="C6" s="6"/>
      <c r="D6" s="5" t="s">
        <v>27</v>
      </c>
      <c r="E6" s="5"/>
      <c r="F6" s="21" t="s">
        <v>28</v>
      </c>
      <c r="G6" s="21" t="s">
        <v>29</v>
      </c>
      <c r="J6" s="22" t="s">
        <v>30</v>
      </c>
    </row>
    <row r="7" spans="1:10" ht="30" customHeight="1" x14ac:dyDescent="0.25">
      <c r="B7" s="7" t="s">
        <v>129</v>
      </c>
      <c r="C7" s="7"/>
      <c r="D7" s="4" t="s">
        <v>130</v>
      </c>
      <c r="E7" s="4"/>
      <c r="F7" s="37"/>
      <c r="G7" s="23" t="str">
        <f>IF(F7="","",IFERROR(IF(ABS(F7-50.7)&lt;0.01,"✓  Correct","✗  Try again"),"✗  Try again"))</f>
        <v/>
      </c>
      <c r="J7" s="3" t="s">
        <v>131</v>
      </c>
    </row>
    <row r="8" spans="1:10" ht="30" customHeight="1" x14ac:dyDescent="0.25">
      <c r="B8" s="7" t="s">
        <v>132</v>
      </c>
      <c r="C8" s="7"/>
      <c r="D8" s="4" t="s">
        <v>133</v>
      </c>
      <c r="E8" s="4"/>
      <c r="F8" s="37"/>
      <c r="G8" s="23" t="str">
        <f>IF(F8="","",IFERROR(IF(ABS(F8-20)&lt;0.01,"✓  Correct","✗  Try again"),"✗  Try again"))</f>
        <v/>
      </c>
      <c r="J8" s="3"/>
    </row>
    <row r="9" spans="1:10" ht="30" customHeight="1" x14ac:dyDescent="0.25">
      <c r="B9" s="7" t="s">
        <v>134</v>
      </c>
      <c r="C9" s="7"/>
      <c r="D9" s="4" t="s">
        <v>135</v>
      </c>
      <c r="E9" s="4"/>
      <c r="F9" s="37"/>
      <c r="G9" s="23" t="str">
        <f>IF(F9="","",IFERROR(IF(ABS(F9-350)&lt;0.01,"✓  Correct","✗  Try again"),"✗  Try again"))</f>
        <v/>
      </c>
      <c r="J9" s="3"/>
    </row>
    <row r="10" spans="1:10" ht="30" customHeight="1" x14ac:dyDescent="0.25">
      <c r="B10" s="7" t="s">
        <v>136</v>
      </c>
      <c r="C10" s="7"/>
      <c r="D10" s="4" t="s">
        <v>137</v>
      </c>
      <c r="E10" s="4"/>
      <c r="F10" s="37"/>
      <c r="G10" s="23" t="str">
        <f>IF(F10="","",IFERROR(IF(ABS(F10-45.54)&lt;0.05,"✓  Correct","✗  Try again"),"✗  Try again"))</f>
        <v/>
      </c>
      <c r="J10" s="3"/>
    </row>
    <row r="12" spans="1:10" ht="33.75" customHeight="1" x14ac:dyDescent="0.25">
      <c r="A12" s="1" t="s">
        <v>138</v>
      </c>
      <c r="B12" s="1"/>
      <c r="C12" s="1"/>
      <c r="D12" s="1"/>
      <c r="E12" s="1"/>
      <c r="F12" s="1"/>
      <c r="G12" s="1"/>
      <c r="H12" s="1"/>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5">
    <mergeCell ref="A12:H12"/>
    <mergeCell ref="B7:C7"/>
    <mergeCell ref="D7:E7"/>
    <mergeCell ref="J7:J10"/>
    <mergeCell ref="B8:C8"/>
    <mergeCell ref="D8:E8"/>
    <mergeCell ref="B9:C9"/>
    <mergeCell ref="D9:E9"/>
    <mergeCell ref="B10:C10"/>
    <mergeCell ref="D10:E10"/>
    <mergeCell ref="A1:H1"/>
    <mergeCell ref="A2:H2"/>
    <mergeCell ref="A4:H4"/>
    <mergeCell ref="B6:C6"/>
    <mergeCell ref="D6:E6"/>
  </mergeCells>
  <conditionalFormatting sqref="G7:G10">
    <cfRule type="expression" dxfId="5" priority="2">
      <formula>ISNUMBER(SEARCH("Correct",G7))</formula>
    </cfRule>
    <cfRule type="expression" dxfId="4" priority="3">
      <formula>ISNUMBER(SEARCH("Try",G7))</formula>
    </cfRule>
  </conditionalFormatting>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J1000"/>
  <sheetViews>
    <sheetView showGridLines="0" zoomScaleNormal="100" workbookViewId="0">
      <selection activeCell="F7" sqref="F7"/>
    </sheetView>
  </sheetViews>
  <sheetFormatPr defaultColWidth="14.42578125" defaultRowHeight="15" x14ac:dyDescent="0.25"/>
  <cols>
    <col min="1" max="1" width="3" customWidth="1"/>
    <col min="2" max="2" width="30" customWidth="1"/>
    <col min="3" max="3" width="14" customWidth="1"/>
    <col min="4" max="4" width="2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139</v>
      </c>
      <c r="B1" s="13"/>
      <c r="C1" s="13"/>
      <c r="D1" s="13"/>
      <c r="E1" s="13"/>
      <c r="F1" s="13"/>
      <c r="G1" s="13"/>
      <c r="H1" s="13"/>
    </row>
    <row r="2" spans="1:10" ht="21.75" customHeight="1" x14ac:dyDescent="0.25">
      <c r="A2" s="12" t="s">
        <v>140</v>
      </c>
      <c r="B2" s="12"/>
      <c r="C2" s="12"/>
      <c r="D2" s="12"/>
      <c r="E2" s="12"/>
      <c r="F2" s="12"/>
      <c r="G2" s="12"/>
      <c r="H2" s="12"/>
    </row>
    <row r="4" spans="1:10" ht="39.75" customHeight="1" x14ac:dyDescent="0.25">
      <c r="A4" s="11" t="s">
        <v>141</v>
      </c>
      <c r="B4" s="11"/>
      <c r="C4" s="11"/>
      <c r="D4" s="11"/>
      <c r="E4" s="11"/>
      <c r="F4" s="11"/>
      <c r="G4" s="11"/>
      <c r="H4" s="11"/>
    </row>
    <row r="6" spans="1:10" ht="18" customHeight="1" x14ac:dyDescent="0.25">
      <c r="B6" s="6" t="s">
        <v>26</v>
      </c>
      <c r="C6" s="6"/>
      <c r="D6" s="5" t="s">
        <v>27</v>
      </c>
      <c r="E6" s="5"/>
      <c r="F6" s="21" t="s">
        <v>28</v>
      </c>
      <c r="G6" s="21" t="s">
        <v>29</v>
      </c>
      <c r="J6" s="22" t="s">
        <v>30</v>
      </c>
    </row>
    <row r="7" spans="1:10" ht="30" customHeight="1" x14ac:dyDescent="0.25">
      <c r="B7" s="7" t="s">
        <v>142</v>
      </c>
      <c r="C7" s="7"/>
      <c r="D7" s="4" t="s">
        <v>143</v>
      </c>
      <c r="E7" s="4"/>
      <c r="F7" s="37"/>
      <c r="G7" s="23" t="str">
        <f>IF(F7="","",IFERROR(IF(ABS(F7-35)&lt;0.01,"✓  Correct","✗  Try again"),"✗  Try again"))</f>
        <v/>
      </c>
      <c r="J7" s="3" t="s">
        <v>144</v>
      </c>
    </row>
    <row r="8" spans="1:10" ht="30" customHeight="1" x14ac:dyDescent="0.25">
      <c r="B8" s="7" t="s">
        <v>145</v>
      </c>
      <c r="C8" s="7"/>
      <c r="D8" s="4" t="s">
        <v>146</v>
      </c>
      <c r="E8" s="4"/>
      <c r="F8" s="37"/>
      <c r="G8" s="23" t="str">
        <f>IF(F8="","",IFERROR(IF(ABS(F8-35)&lt;0.01,"✓  Correct","✗  Try again"),"✗  Try again"))</f>
        <v/>
      </c>
      <c r="J8" s="3"/>
    </row>
    <row r="9" spans="1:10" ht="30" customHeight="1" x14ac:dyDescent="0.25">
      <c r="B9" s="7" t="s">
        <v>147</v>
      </c>
      <c r="C9" s="7"/>
      <c r="D9" s="4" t="s">
        <v>148</v>
      </c>
      <c r="E9" s="4"/>
      <c r="F9" s="37"/>
      <c r="G9" s="23" t="str">
        <f>IF(F9="","",IFERROR(IF(ABS(F9-330)&lt;0.01,"✓  Correct","✗  Try again"),"✗  Try again"))</f>
        <v/>
      </c>
      <c r="J9" s="3"/>
    </row>
    <row r="11" spans="1:10" ht="15" customHeight="1" x14ac:dyDescent="0.25">
      <c r="B11" s="9" t="s">
        <v>149</v>
      </c>
      <c r="C11" s="9"/>
      <c r="D11" s="9"/>
      <c r="E11" s="9"/>
      <c r="F11" s="9"/>
      <c r="G11" s="9"/>
      <c r="H11" s="9"/>
    </row>
    <row r="12" spans="1:10" ht="15" customHeight="1" x14ac:dyDescent="0.25">
      <c r="B12" s="9"/>
      <c r="C12" s="9"/>
      <c r="D12" s="9"/>
      <c r="E12" s="9"/>
      <c r="F12" s="9"/>
      <c r="G12" s="9"/>
      <c r="H12" s="9"/>
    </row>
    <row r="13" spans="1:10" ht="15" customHeight="1" x14ac:dyDescent="0.25">
      <c r="B13" s="9"/>
      <c r="C13" s="9"/>
      <c r="D13" s="9"/>
      <c r="E13" s="9"/>
      <c r="F13" s="9"/>
      <c r="G13" s="9"/>
      <c r="H13" s="9"/>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3">
    <mergeCell ref="B11:H13"/>
    <mergeCell ref="B7:C7"/>
    <mergeCell ref="D7:E7"/>
    <mergeCell ref="J7:J9"/>
    <mergeCell ref="B8:C8"/>
    <mergeCell ref="D8:E8"/>
    <mergeCell ref="B9:C9"/>
    <mergeCell ref="D9:E9"/>
    <mergeCell ref="A1:H1"/>
    <mergeCell ref="A2:H2"/>
    <mergeCell ref="A4:H4"/>
    <mergeCell ref="B6:C6"/>
    <mergeCell ref="D6:E6"/>
  </mergeCells>
  <conditionalFormatting sqref="G7:G9">
    <cfRule type="expression" dxfId="3" priority="2">
      <formula>ISNUMBER(SEARCH("Correct",G7))</formula>
    </cfRule>
    <cfRule type="expression" dxfId="2" priority="3">
      <formula>ISNUMBER(SEARCH("Try",G7))</formula>
    </cfRule>
  </conditionalFormatting>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235"/>
  </sheetPr>
  <dimension ref="A1:C1000"/>
  <sheetViews>
    <sheetView showGridLines="0" zoomScaleNormal="100" workbookViewId="0">
      <selection sqref="A1:C1"/>
    </sheetView>
  </sheetViews>
  <sheetFormatPr defaultColWidth="14.42578125" defaultRowHeight="15" x14ac:dyDescent="0.25"/>
  <cols>
    <col min="1" max="1" width="3" customWidth="1"/>
    <col min="2" max="2" width="24" customWidth="1"/>
    <col min="3" max="3" width="72" customWidth="1"/>
    <col min="4" max="8" width="8.7109375" customWidth="1"/>
  </cols>
  <sheetData>
    <row r="1" spans="1:3" ht="30" customHeight="1" x14ac:dyDescent="0.25">
      <c r="A1" s="13" t="s">
        <v>150</v>
      </c>
      <c r="B1" s="13"/>
      <c r="C1" s="13"/>
    </row>
    <row r="2" spans="1:3" ht="21.75" customHeight="1" x14ac:dyDescent="0.25">
      <c r="A2" s="12" t="s">
        <v>151</v>
      </c>
      <c r="B2" s="12"/>
      <c r="C2" s="12"/>
    </row>
    <row r="4" spans="1:3" ht="37.5" customHeight="1" x14ac:dyDescent="0.25">
      <c r="B4" s="34" t="s">
        <v>152</v>
      </c>
      <c r="C4" s="35" t="s">
        <v>153</v>
      </c>
    </row>
    <row r="5" spans="1:3" ht="37.5" customHeight="1" x14ac:dyDescent="0.25">
      <c r="B5" s="34" t="s">
        <v>154</v>
      </c>
      <c r="C5" s="35" t="s">
        <v>155</v>
      </c>
    </row>
    <row r="6" spans="1:3" ht="37.5" customHeight="1" x14ac:dyDescent="0.25">
      <c r="B6" s="34" t="s">
        <v>156</v>
      </c>
      <c r="C6" s="35" t="s">
        <v>157</v>
      </c>
    </row>
    <row r="7" spans="1:3" ht="37.5" customHeight="1" x14ac:dyDescent="0.25">
      <c r="B7" s="34" t="s">
        <v>158</v>
      </c>
      <c r="C7" s="35" t="s">
        <v>159</v>
      </c>
    </row>
    <row r="8" spans="1:3" ht="37.5" customHeight="1" x14ac:dyDescent="0.25">
      <c r="B8" s="34" t="s">
        <v>160</v>
      </c>
      <c r="C8" s="35" t="s">
        <v>161</v>
      </c>
    </row>
    <row r="9" spans="1:3" ht="37.5" customHeight="1" x14ac:dyDescent="0.25">
      <c r="B9" s="34" t="s">
        <v>162</v>
      </c>
      <c r="C9" s="35" t="s">
        <v>163</v>
      </c>
    </row>
    <row r="10" spans="1:3" ht="37.5" customHeight="1" x14ac:dyDescent="0.25">
      <c r="B10" s="34" t="s">
        <v>164</v>
      </c>
      <c r="C10" s="35" t="s">
        <v>165</v>
      </c>
    </row>
    <row r="11" spans="1:3" ht="37.5" customHeight="1" x14ac:dyDescent="0.25">
      <c r="B11" s="34" t="s">
        <v>166</v>
      </c>
      <c r="C11" s="35" t="s">
        <v>167</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2">
    <mergeCell ref="A1:C1"/>
    <mergeCell ref="A2:C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J1000"/>
  <sheetViews>
    <sheetView showGridLines="0" zoomScaleNormal="100" workbookViewId="0">
      <selection activeCell="F7" sqref="F7"/>
    </sheetView>
  </sheetViews>
  <sheetFormatPr defaultColWidth="14.42578125" defaultRowHeight="15" x14ac:dyDescent="0.25"/>
  <cols>
    <col min="1" max="1" width="3" customWidth="1"/>
    <col min="2" max="2" width="30" customWidth="1"/>
    <col min="3" max="3" width="14" customWidth="1"/>
    <col min="4" max="4" width="24" customWidth="1"/>
    <col min="5" max="5" width="12" customWidth="1"/>
    <col min="6" max="6" width="16" customWidth="1"/>
    <col min="7" max="7" width="14" customWidth="1"/>
    <col min="8" max="8" width="10" customWidth="1"/>
    <col min="9" max="9" width="1.5703125" customWidth="1"/>
    <col min="10" max="10" width="52" customWidth="1"/>
  </cols>
  <sheetData>
    <row r="1" spans="1:10" ht="30" customHeight="1" x14ac:dyDescent="0.25">
      <c r="A1" s="13" t="s">
        <v>168</v>
      </c>
      <c r="B1" s="13"/>
      <c r="C1" s="13"/>
      <c r="D1" s="13"/>
      <c r="E1" s="13"/>
      <c r="F1" s="13"/>
      <c r="G1" s="13"/>
      <c r="H1" s="13"/>
    </row>
    <row r="2" spans="1:10" ht="21.75" customHeight="1" x14ac:dyDescent="0.25">
      <c r="A2" s="12" t="s">
        <v>169</v>
      </c>
      <c r="B2" s="12"/>
      <c r="C2" s="12"/>
      <c r="D2" s="12"/>
      <c r="E2" s="12"/>
      <c r="F2" s="12"/>
      <c r="G2" s="12"/>
      <c r="H2" s="12"/>
    </row>
    <row r="4" spans="1:10" ht="33.75" customHeight="1" x14ac:dyDescent="0.25">
      <c r="A4" s="11" t="s">
        <v>170</v>
      </c>
      <c r="B4" s="11"/>
      <c r="C4" s="11"/>
      <c r="D4" s="11"/>
      <c r="E4" s="11"/>
      <c r="F4" s="11"/>
      <c r="G4" s="11"/>
      <c r="H4" s="11"/>
    </row>
    <row r="6" spans="1:10" ht="18" customHeight="1" x14ac:dyDescent="0.25">
      <c r="B6" s="6" t="s">
        <v>26</v>
      </c>
      <c r="C6" s="6"/>
      <c r="D6" s="5" t="s">
        <v>27</v>
      </c>
      <c r="E6" s="5"/>
      <c r="F6" s="21" t="s">
        <v>28</v>
      </c>
      <c r="G6" s="21" t="s">
        <v>29</v>
      </c>
      <c r="J6" s="22" t="s">
        <v>30</v>
      </c>
    </row>
    <row r="7" spans="1:10" ht="42.75" customHeight="1" x14ac:dyDescent="0.25">
      <c r="B7" s="7" t="s">
        <v>171</v>
      </c>
      <c r="C7" s="7"/>
      <c r="D7" s="4" t="s">
        <v>172</v>
      </c>
      <c r="E7" s="4"/>
      <c r="F7" s="37"/>
      <c r="G7" s="23" t="str">
        <f>IF(F7="","",IFERROR(IF(ABS(F7-34.95)&lt;0.01,"✓  Correct","✗  Try again"),"✗  Try again"))</f>
        <v/>
      </c>
      <c r="J7" s="24" t="s">
        <v>173</v>
      </c>
    </row>
    <row r="9" spans="1:10" ht="24" customHeight="1" x14ac:dyDescent="0.25">
      <c r="A9" s="10" t="s">
        <v>174</v>
      </c>
      <c r="B9" s="10"/>
      <c r="C9" s="10"/>
      <c r="D9" s="10"/>
      <c r="E9" s="10"/>
      <c r="F9" s="10"/>
      <c r="G9" s="10"/>
      <c r="H9" s="10"/>
    </row>
    <row r="10" spans="1:10" ht="43.5" customHeight="1" x14ac:dyDescent="0.25">
      <c r="B10" s="7" t="s">
        <v>175</v>
      </c>
      <c r="C10" s="7"/>
      <c r="D10" s="7"/>
      <c r="E10" s="38"/>
      <c r="F10" s="38"/>
      <c r="G10" s="38"/>
      <c r="H10" s="38"/>
    </row>
    <row r="11" spans="1:10" ht="43.5" customHeight="1" x14ac:dyDescent="0.25">
      <c r="B11" s="7" t="s">
        <v>176</v>
      </c>
      <c r="C11" s="7"/>
      <c r="D11" s="7"/>
      <c r="E11" s="38"/>
      <c r="F11" s="38"/>
      <c r="G11" s="38"/>
      <c r="H11" s="38"/>
    </row>
    <row r="12" spans="1:10" ht="43.5" customHeight="1" x14ac:dyDescent="0.25">
      <c r="B12" s="7" t="s">
        <v>177</v>
      </c>
      <c r="C12" s="7"/>
      <c r="D12" s="7"/>
      <c r="E12" s="38"/>
      <c r="F12" s="38"/>
      <c r="G12" s="38"/>
      <c r="H12" s="3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4">
    <mergeCell ref="B11:D11"/>
    <mergeCell ref="E11:H11"/>
    <mergeCell ref="B12:D12"/>
    <mergeCell ref="E12:H12"/>
    <mergeCell ref="B7:C7"/>
    <mergeCell ref="D7:E7"/>
    <mergeCell ref="A9:H9"/>
    <mergeCell ref="B10:D10"/>
    <mergeCell ref="E10:H10"/>
    <mergeCell ref="A1:H1"/>
    <mergeCell ref="A2:H2"/>
    <mergeCell ref="A4:H4"/>
    <mergeCell ref="B6:C6"/>
    <mergeCell ref="D6:E6"/>
  </mergeCells>
  <conditionalFormatting sqref="G7">
    <cfRule type="expression" dxfId="1" priority="2">
      <formula>ISNUMBER(SEARCH("Correct",G7))</formula>
    </cfRule>
    <cfRule type="expression" dxfId="0" priority="3">
      <formula>ISNUMBER(SEARCH("Try",G7))</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F8F00"/>
  </sheetPr>
  <dimension ref="A1:V1000"/>
  <sheetViews>
    <sheetView showGridLines="0" tabSelected="1" zoomScaleNormal="100" workbookViewId="0">
      <selection activeCell="C6" sqref="C6"/>
    </sheetView>
  </sheetViews>
  <sheetFormatPr defaultColWidth="14.42578125" defaultRowHeight="15" x14ac:dyDescent="0.25"/>
  <cols>
    <col min="1" max="1" width="3" customWidth="1"/>
    <col min="2" max="2" width="50" customWidth="1"/>
    <col min="3" max="5" width="16" customWidth="1"/>
    <col min="6" max="6" width="58.140625" customWidth="1"/>
    <col min="7" max="7" width="8.7109375" customWidth="1"/>
    <col min="8" max="8" width="16.85546875" customWidth="1"/>
    <col min="10" max="22" width="3.42578125" customWidth="1"/>
  </cols>
  <sheetData>
    <row r="1" spans="1:22" ht="30" customHeight="1" x14ac:dyDescent="0.25">
      <c r="A1" s="13" t="s">
        <v>178</v>
      </c>
      <c r="B1" s="13"/>
      <c r="C1" s="13"/>
      <c r="D1" s="13"/>
      <c r="E1" s="13"/>
      <c r="F1" s="13"/>
      <c r="J1" s="14" t="s">
        <v>1</v>
      </c>
    </row>
    <row r="2" spans="1:22" ht="21.75" customHeight="1" x14ac:dyDescent="0.25">
      <c r="A2" s="12" t="s">
        <v>179</v>
      </c>
      <c r="B2" s="12"/>
      <c r="C2" s="12"/>
      <c r="D2" s="12"/>
      <c r="E2" s="12"/>
      <c r="F2" s="12"/>
      <c r="J2" s="15">
        <v>1</v>
      </c>
      <c r="K2" s="15">
        <v>2</v>
      </c>
      <c r="L2" s="15">
        <v>3</v>
      </c>
      <c r="M2" s="15">
        <v>4</v>
      </c>
      <c r="N2" s="15">
        <v>5</v>
      </c>
      <c r="O2" s="15">
        <v>6</v>
      </c>
      <c r="P2" s="16">
        <v>7</v>
      </c>
      <c r="Q2" s="15">
        <v>8</v>
      </c>
      <c r="R2" s="15">
        <v>9</v>
      </c>
      <c r="S2" s="15">
        <v>10</v>
      </c>
      <c r="T2" s="15">
        <v>11</v>
      </c>
      <c r="U2" s="15">
        <v>12</v>
      </c>
      <c r="V2" s="15">
        <v>13</v>
      </c>
    </row>
    <row r="4" spans="1:22" ht="24" customHeight="1" x14ac:dyDescent="0.25">
      <c r="A4" s="10" t="s">
        <v>180</v>
      </c>
      <c r="B4" s="10"/>
      <c r="C4" s="10"/>
      <c r="D4" s="10"/>
      <c r="E4" s="10"/>
      <c r="F4" s="10"/>
      <c r="G4" s="10"/>
      <c r="H4" s="10"/>
    </row>
    <row r="5" spans="1:22" ht="18" customHeight="1" x14ac:dyDescent="0.25">
      <c r="A5" s="11" t="s">
        <v>181</v>
      </c>
      <c r="B5" s="11"/>
      <c r="C5" s="11"/>
      <c r="D5" s="11"/>
      <c r="E5" s="11"/>
      <c r="F5" s="11"/>
      <c r="G5" s="11"/>
      <c r="H5" s="11"/>
    </row>
    <row r="6" spans="1:22" ht="24" customHeight="1" x14ac:dyDescent="0.25">
      <c r="C6" s="37"/>
      <c r="D6" s="7" t="s">
        <v>182</v>
      </c>
      <c r="E6" s="7"/>
      <c r="F6" s="7"/>
    </row>
    <row r="7" spans="1:22" ht="24" customHeight="1" x14ac:dyDescent="0.25">
      <c r="C7" s="37"/>
      <c r="D7" s="7" t="s">
        <v>18</v>
      </c>
      <c r="E7" s="7"/>
      <c r="F7" s="7"/>
    </row>
    <row r="8" spans="1:22" ht="24" customHeight="1" x14ac:dyDescent="0.25">
      <c r="C8" s="37"/>
      <c r="D8" s="7" t="s">
        <v>183</v>
      </c>
      <c r="E8" s="7"/>
      <c r="F8" s="7"/>
    </row>
    <row r="9" spans="1:22" ht="24" customHeight="1" x14ac:dyDescent="0.25">
      <c r="C9" s="37"/>
      <c r="D9" s="7" t="s">
        <v>184</v>
      </c>
      <c r="E9" s="7"/>
      <c r="F9" s="7"/>
    </row>
    <row r="10" spans="1:22" ht="24" customHeight="1" x14ac:dyDescent="0.25">
      <c r="C10" s="37"/>
      <c r="D10" s="7" t="s">
        <v>185</v>
      </c>
      <c r="E10" s="7"/>
      <c r="F10" s="7"/>
    </row>
    <row r="12" spans="1:22" ht="24" customHeight="1" x14ac:dyDescent="0.25">
      <c r="A12" s="10" t="s">
        <v>186</v>
      </c>
      <c r="B12" s="10"/>
      <c r="C12" s="10"/>
      <c r="D12" s="10"/>
      <c r="E12" s="10"/>
      <c r="F12" s="10"/>
      <c r="G12" s="10"/>
      <c r="H12" s="10"/>
    </row>
    <row r="13" spans="1:22" ht="18" customHeight="1" x14ac:dyDescent="0.25">
      <c r="A13" s="11" t="s">
        <v>187</v>
      </c>
      <c r="B13" s="11"/>
      <c r="C13" s="11"/>
      <c r="D13" s="11"/>
      <c r="E13" s="11"/>
      <c r="F13" s="11"/>
      <c r="G13" s="11"/>
      <c r="H13" s="11"/>
    </row>
    <row r="14" spans="1:22" ht="18" customHeight="1" x14ac:dyDescent="0.25">
      <c r="B14" s="8" t="s">
        <v>15</v>
      </c>
      <c r="C14" s="8"/>
      <c r="D14" s="8"/>
      <c r="E14" s="17" t="s">
        <v>188</v>
      </c>
    </row>
    <row r="15" spans="1:22" ht="21.75" customHeight="1" x14ac:dyDescent="0.25">
      <c r="B15" s="7" t="s">
        <v>17</v>
      </c>
      <c r="C15" s="7"/>
      <c r="D15" s="7"/>
      <c r="E15" s="37"/>
    </row>
    <row r="16" spans="1:22" ht="21.75" customHeight="1" x14ac:dyDescent="0.25">
      <c r="B16" s="7" t="s">
        <v>18</v>
      </c>
      <c r="C16" s="7"/>
      <c r="D16" s="7"/>
      <c r="E16" s="37"/>
    </row>
    <row r="17" spans="2:6" ht="21.75" customHeight="1" x14ac:dyDescent="0.25">
      <c r="B17" s="7" t="s">
        <v>19</v>
      </c>
      <c r="C17" s="7"/>
      <c r="D17" s="7"/>
      <c r="E17" s="37"/>
    </row>
    <row r="18" spans="2:6" ht="21.75" customHeight="1" x14ac:dyDescent="0.25">
      <c r="B18" s="7" t="s">
        <v>20</v>
      </c>
      <c r="C18" s="7"/>
      <c r="D18" s="7"/>
      <c r="E18" s="37"/>
    </row>
    <row r="20" spans="2:6" ht="15" customHeight="1" x14ac:dyDescent="0.25">
      <c r="B20" s="9" t="s">
        <v>189</v>
      </c>
      <c r="C20" s="9"/>
      <c r="D20" s="9"/>
      <c r="E20" s="9"/>
      <c r="F20" s="9"/>
    </row>
    <row r="21" spans="2:6" ht="15.75" customHeight="1" x14ac:dyDescent="0.25">
      <c r="B21" s="9"/>
      <c r="C21" s="9"/>
      <c r="D21" s="9"/>
      <c r="E21" s="9"/>
      <c r="F21" s="9"/>
    </row>
    <row r="22" spans="2:6" ht="15.75" customHeight="1" x14ac:dyDescent="0.25">
      <c r="B22" s="9"/>
      <c r="C22" s="9"/>
      <c r="D22" s="9"/>
      <c r="E22" s="9"/>
      <c r="F22" s="9"/>
    </row>
    <row r="23" spans="2:6" ht="15.75" customHeight="1" x14ac:dyDescent="0.25"/>
    <row r="24" spans="2:6" ht="15.75" customHeight="1" x14ac:dyDescent="0.25"/>
    <row r="25" spans="2:6" ht="15.75" customHeight="1" x14ac:dyDescent="0.25"/>
    <row r="26" spans="2:6" ht="15.75" customHeight="1" x14ac:dyDescent="0.25"/>
    <row r="27" spans="2:6" ht="15.75" customHeight="1" x14ac:dyDescent="0.25"/>
    <row r="28" spans="2:6" ht="15.75" customHeight="1" x14ac:dyDescent="0.25"/>
    <row r="29" spans="2:6" ht="15.75" customHeight="1" x14ac:dyDescent="0.25"/>
    <row r="30" spans="2:6" ht="15.75" customHeight="1" x14ac:dyDescent="0.25"/>
    <row r="31" spans="2:6" ht="15.75" customHeight="1" x14ac:dyDescent="0.25"/>
    <row r="32" spans="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sheet="1" objects="1" scenarios="1" selectLockedCells="1"/>
  <mergeCells count="17">
    <mergeCell ref="B18:D18"/>
    <mergeCell ref="B20:F22"/>
    <mergeCell ref="A13:H13"/>
    <mergeCell ref="B14:D14"/>
    <mergeCell ref="B15:D15"/>
    <mergeCell ref="B16:D16"/>
    <mergeCell ref="B17:D17"/>
    <mergeCell ref="D7:F7"/>
    <mergeCell ref="D8:F8"/>
    <mergeCell ref="D9:F9"/>
    <mergeCell ref="D10:F10"/>
    <mergeCell ref="A12:H12"/>
    <mergeCell ref="A1:F1"/>
    <mergeCell ref="A2:F2"/>
    <mergeCell ref="A4:H4"/>
    <mergeCell ref="A5:H5"/>
    <mergeCell ref="D6:F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Start Here</vt:lpstr>
      <vt:lpstr>Warm-up</vt:lpstr>
      <vt:lpstr>Club Data</vt:lpstr>
      <vt:lpstr>Bookings_All</vt:lpstr>
      <vt:lpstr>Task 1 - Totals &amp; Counts</vt:lpstr>
      <vt:lpstr>Task 2 - Averages &amp; Extremes</vt:lpstr>
      <vt:lpstr>Task 3 - Describe the Data</vt:lpstr>
      <vt:lpstr>Support</vt:lpstr>
      <vt:lpstr>Stretch</vt:lpstr>
      <vt:lpstr>Confidence &amp;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Michael Chittenden</cp:lastModifiedBy>
  <cp:revision>0</cp:revision>
  <dcterms:created xsi:type="dcterms:W3CDTF">2026-06-10T13:07:29Z</dcterms:created>
  <dcterms:modified xsi:type="dcterms:W3CDTF">2026-06-22T21:23:06Z</dcterms:modified>
  <dc:language>en-US</dc:language>
</cp:coreProperties>
</file>