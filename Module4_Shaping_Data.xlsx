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ownloads\CHECKED\"/>
    </mc:Choice>
  </mc:AlternateContent>
  <xr:revisionPtr revIDLastSave="0" documentId="8_{0385E405-203F-4B27-846A-09CC5601AFA3}" xr6:coauthVersionLast="47" xr6:coauthVersionMax="47" xr10:uidLastSave="{00000000-0000-0000-0000-000000000000}"/>
  <bookViews>
    <workbookView xWindow="28680" yWindow="-120" windowWidth="29040" windowHeight="17520" tabRatio="770" firstSheet="2" activeTab="9" xr2:uid="{00000000-000D-0000-FFFF-FFFF00000000}"/>
  </bookViews>
  <sheets>
    <sheet name="Start Here" sheetId="1" r:id="rId1"/>
    <sheet name="Task 1 - Split" sheetId="2" r:id="rId2"/>
    <sheet name="Task 2 - Fill Down" sheetId="3" r:id="rId3"/>
    <sheet name="Task 3 - Fill Up" sheetId="4" r:id="rId4"/>
    <sheet name="Task 4 - Custom Column" sheetId="5" r:id="rId5"/>
    <sheet name="Task 5 - Column From Examples" sheetId="6" r:id="rId6"/>
    <sheet name="Task 6 - Conditional Columns" sheetId="7" r:id="rId7"/>
    <sheet name="Support" sheetId="8" r:id="rId8"/>
    <sheet name="Stretch" sheetId="9" r:id="rId9"/>
    <sheet name="Confidence &amp; Next Step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8" i="9" l="1"/>
  <c r="G33" i="7"/>
  <c r="G32" i="7"/>
  <c r="G31" i="7"/>
  <c r="G26" i="7"/>
  <c r="G25" i="7"/>
  <c r="G20" i="7"/>
  <c r="G19" i="7"/>
  <c r="G18" i="7"/>
  <c r="G18" i="6"/>
  <c r="G19" i="5"/>
  <c r="G17" i="4"/>
  <c r="G16" i="4"/>
  <c r="G18" i="3"/>
  <c r="G17" i="3"/>
  <c r="G20" i="2"/>
  <c r="G19" i="2"/>
  <c r="G18" i="2"/>
</calcChain>
</file>

<file path=xl/sharedStrings.xml><?xml version="1.0" encoding="utf-8"?>
<sst xmlns="http://schemas.openxmlformats.org/spreadsheetml/2006/main" count="207" uniqueCount="164">
  <si>
    <t>Module 4  -  Shaping Data</t>
  </si>
  <si>
    <t>YOUR JOURNEY</t>
  </si>
  <si>
    <t>Reshape your clean data into a usable form, in Power Query  -  Self-paced</t>
  </si>
  <si>
    <t>Your data is now clean (Module 3). Shaping is the next step: pulling one column into several, closing gaps the source left behind, building brand-new columns, and adding categories you can group by. Same Power Query Editor, same Applied Steps safety net - you're just creating structure now instead of fixing errors.</t>
  </si>
  <si>
    <t>What you'll do in this module</t>
  </si>
  <si>
    <t>•  Split a column: turn 'Last, First' into separate first and last names.</t>
  </si>
  <si>
    <t>•  Fill down / fill up: close the gaps the report and the export left behind.</t>
  </si>
  <si>
    <t>•  Add a custom column: build a new column from a simple formula.</t>
  </si>
  <si>
    <t>•  Column from examples: let Power Query work out a transformation from examples you type.</t>
  </si>
  <si>
    <t>•  Conditional columns: create useful categories with multi-rule logic.</t>
  </si>
  <si>
    <t>Reminder: how to get back into Power Query</t>
  </si>
  <si>
    <t>Data tab &gt; Queries &amp; Connections &gt; right-click a query (e.g. Members) &gt; Edit. The Applied Steps list on the right still holds your cleaning steps - you'll add your shaping steps after them. If you need the full tour again, see Module 3's 'Power Query - First Look' tab.</t>
  </si>
  <si>
    <t>Before you start - you're building now</t>
  </si>
  <si>
    <t>Shaping is about making the data work harder for you. Like cleaning, every step is recorded and reversible, and the source files are untouched. If a split or a formula doesn't look right, delete that one step and try again. Breathe (in 4, hold 4, out 6) and take the tasks one at a time.</t>
  </si>
  <si>
    <t>Your confidence baseline  (1 = not yet, 5 = confident)</t>
  </si>
  <si>
    <t>Statement</t>
  </si>
  <si>
    <t>Rating (1-5)</t>
  </si>
  <si>
    <t>I can split one column into several</t>
  </si>
  <si>
    <t>I can fill values down and up to close gaps</t>
  </si>
  <si>
    <t>I can add a custom column and a column from examples</t>
  </si>
  <si>
    <t>I can build a conditional column with several rules</t>
  </si>
  <si>
    <t>Task 1 - Split the member name</t>
  </si>
  <si>
    <t>Members  -  'Last, First' into two columns</t>
  </si>
  <si>
    <t>The MemberName column holds values like 'Sharma, Priya' - last name, a comma, then first name. To use names properly you need them in separate columns. Split splits one column into several at a chosen character (here, the comma).</t>
  </si>
  <si>
    <t>Step by step</t>
  </si>
  <si>
    <t>①  Open the Members query (right-click &gt; Edit).</t>
  </si>
  <si>
    <t>②  Click the 'MemberName' heading to select the column.</t>
  </si>
  <si>
    <t>③  Home tab &gt; Split Column &gt; By Delimiter.</t>
  </si>
  <si>
    <t>④  Choose 'Comma' as the delimiter and 'At each occurrence of the delimiter', then OK.</t>
  </si>
  <si>
    <t>⑤  You now have two columns. Double-click each heading to rename them 'LastName' and 'FirstName'.</t>
  </si>
  <si>
    <t>⑥  The first name may have a leading space (from after the comma). Select FirstName &gt; Transform &gt; Format &gt; Trim to remove it.</t>
  </si>
  <si>
    <t>Check it (type your answer; the cell turns green or red)</t>
  </si>
  <si>
    <t>Question</t>
  </si>
  <si>
    <t>Your answer</t>
  </si>
  <si>
    <t>Check</t>
  </si>
  <si>
    <t>💡 Hints — try before you peek</t>
  </si>
  <si>
    <t>After splitting, how many columns does the Members query have?</t>
  </si>
  <si>
    <t>Reason it out: 5 original columns, minus the 1 you split, plus the 2 it became.</t>
  </si>
  <si>
    <t>What is the FIRST name for MemberID 1009?</t>
  </si>
  <si>
    <t>Find row 1009 in the preview — the part AFTER the comma became FirstName.</t>
  </si>
  <si>
    <t>What is the LAST name for MemberID 1004?</t>
  </si>
  <si>
    <t>Same trick for 1004 — the part BEFORE the comma became LastName.</t>
  </si>
  <si>
    <t>💡  If the split makes more columns than you expected, an extra comma is hiding in the data - check, then adjust or undo the step.</t>
  </si>
  <si>
    <t>Task 2 - Fill down the dates</t>
  </si>
  <si>
    <t>Bookings  -  the report only printed each date once</t>
  </si>
  <si>
    <t>The bookings came from a printed report that showed each date once at the top of the day, leaving the cells below it blank (null). Fill Down copies the value downward into the blanks, so every booking carries its real date.</t>
  </si>
  <si>
    <t>①  Open the Bookings query.</t>
  </si>
  <si>
    <t>②  Click the 'Date' column heading.</t>
  </si>
  <si>
    <t>③  Transform tab &gt; Fill &gt; Down.</t>
  </si>
  <si>
    <t>④  Every blank now takes the date from the row above. Check there are no blanks left.</t>
  </si>
  <si>
    <t>⑤  A 'Filled Down' step appears in Applied Steps.</t>
  </si>
  <si>
    <t>After filling down, what date is on BookingID 5009? (type as 2024-01-10)</t>
  </si>
  <si>
    <t>Click the 'Filled Down' step, then find BookingID 5009 in the preview.</t>
  </si>
  <si>
    <t>How many bookings now have the date 2024-01-10?</t>
  </si>
  <si>
    <t>Filter the Date column to just 2024-01-10 and read the row count, then clear the filter.</t>
  </si>
  <si>
    <t>💡  Fill Down only works on truly blank/null cells. If a cell shows a space instead of null, Trim it first (Transform &gt; Format &gt; Trim).</t>
  </si>
  <si>
    <t>Task 3 - Fill up the batch refs</t>
  </si>
  <si>
    <t>Payments  -  the batch ref sits on the LAST row of each batch</t>
  </si>
  <si>
    <t>In the payments export the deposit-batch reference (e.g. DB-2024-001) was written only on the LAST payment of each batch; the rows above are blank. Fill Up copies the value UPWARD to fill those blanks.</t>
  </si>
  <si>
    <t>①  Open the Payments query.</t>
  </si>
  <si>
    <t>②  Click the 'DepositBatch' column heading.</t>
  </si>
  <si>
    <t>③  Transform tab &gt; Fill &gt; Up.</t>
  </si>
  <si>
    <t>④  Every payment now shows its batch. A 'Filled Up' step appears.</t>
  </si>
  <si>
    <t>⑤  Fill Up and Fill Down are the same tool - the only difference is the direction the value travels.</t>
  </si>
  <si>
    <t>After filling up, what DepositBatch is on PaymentID 9001?</t>
  </si>
  <si>
    <t>PaymentID 9001 is the first row — which batch ref travelled UP into it?</t>
  </si>
  <si>
    <t>How many payments belong to batch DB-2024-002?</t>
  </si>
  <si>
    <t>Filter DepositBatch to DB-2024-002 and count — or spot the run of payments it covers.</t>
  </si>
  <si>
    <t>💡  Choose Up when the value is at the FOOT of each group, Down when it's at the TOP. Look at where the filled cell sits before you pick.</t>
  </si>
  <si>
    <t>Task 4 - Add a custom column</t>
  </si>
  <si>
    <t>Members  -  build a 'DisplayName' from a formula</t>
  </si>
  <si>
    <t>A custom column is a NEW column you build from a small formula. We'll make a friendly 'DisplayName' that reads first name then last name - e.g. 'Priya Sharma' - by joining the two columns you split earlier. The &amp; symbol joins text together.</t>
  </si>
  <si>
    <t>①  Open the Members query (the split from Task 1 must be done first).</t>
  </si>
  <si>
    <t>②  Add Column tab &gt; Custom Column.</t>
  </si>
  <si>
    <t>③  Name the new column:  DisplayName</t>
  </si>
  <si>
    <t>④  In the formula box, type:   [FirstName] &amp; " " &amp; [LastName]</t>
  </si>
  <si>
    <t>⑤  (Click the column names on the right to insert them, so the spelling is exact.)</t>
  </si>
  <si>
    <t>⑥  Click OK. A new DisplayName column appears, e.g. 'Priya Sharma'.</t>
  </si>
  <si>
    <t>⑦  A 'Added Custom' step appears in Applied Steps.</t>
  </si>
  <si>
    <t>What does your DisplayName column show for MemberID 1009?</t>
  </si>
  <si>
    <t>First name, a space, last name — exactly what [FirstName] &amp; " " &amp; [LastName] builds.</t>
  </si>
  <si>
    <t>💡  The quote marks with a space between them - " " - put a gap between the names. Without it you'd get 'PriyaSharma'.</t>
  </si>
  <si>
    <t>Task 5 - Add a column from examples</t>
  </si>
  <si>
    <t>Members  -  pull the username out of the email</t>
  </si>
  <si>
    <t>Sometimes you don't know the formula - so you SHOW Power Query a couple of examples and it works out the rule for you. We'll pull the part of the email before the @ (the username) without writing any formula.</t>
  </si>
  <si>
    <t>①  Open the Members query.</t>
  </si>
  <si>
    <t>②  Add Column tab &gt; Column From Examples &gt; 'From All Columns'.</t>
  </si>
  <si>
    <t>③  A new blank column appears on the right. In its first cell, type the username for that row - for Aisha Khan, type:   aisha.khan</t>
  </si>
  <si>
    <t>④  Press Enter. Type the second one too if asked - Power Query starts predicting the rest (text before the @).</t>
  </si>
  <si>
    <t>⑤  When the preview looks right for every row, click OK. Rename the column 'EmailUser'.</t>
  </si>
  <si>
    <t>⑥  An 'Inserted Text Before Delimiter' (or similar) step appears.</t>
  </si>
  <si>
    <t>What does your EmailUser column show for MemberID 1009?</t>
  </si>
  <si>
    <t>Everything before the @ of her email address.</t>
  </si>
  <si>
    <t>💡  Column From Examples is brilliant when a pattern is obvious to your eye but fiddly to write - dates, codes, names, parts of an address. One row to expect: the member whose email you labelled 'Not provided' in Module 3 has no @ symbol, so EmailUser just shows 'Not provided' - that's fine; note it and move on.</t>
  </si>
  <si>
    <t>Task 6 - Conditional columns</t>
  </si>
  <si>
    <t>Create categories with multi-rule logic  (Add Column &gt; Conditional Column)</t>
  </si>
  <si>
    <t>A conditional column builds a category from rules you set. You'll make THREE, each with several branches. Add Column &gt; Conditional Column, then 'Add rule' for each branch. Rules read top to bottom; the Else at the bottom catches whatever is left.</t>
  </si>
  <si>
    <t>How to add one (general steps)</t>
  </si>
  <si>
    <t>①  Add Column tab &gt; Conditional Column. Give it a name.</t>
  </si>
  <si>
    <t>②  Set the first rule: 'If [column] equals X then output Y'.</t>
  </si>
  <si>
    <t>③  Click 'Add rule' for each extra branch, in order.</t>
  </si>
  <si>
    <t>④  Set the 'Else' value (the catch-all), then OK.</t>
  </si>
  <si>
    <t>⑤  Wrong order or value? Delete the 'Added Conditional Column' step and redo it.</t>
  </si>
  <si>
    <t>D1 - Members: 'MemberSegment'</t>
  </si>
  <si>
    <t>Rules: MembershipType = Adult -&gt; 'Full';  = Family -&gt; 'Household';  = Junior OR Senior -&gt; 'Concession';  Else -&gt; 'Needs review'.</t>
  </si>
  <si>
    <t>How many members are 'Concession'?</t>
  </si>
  <si>
    <t>Concession gathers two types — add their counts.</t>
  </si>
  <si>
    <t>How many fall to 'Needs review'? (after cleaning this should be 0 - the Else is a safety net)</t>
  </si>
  <si>
    <t>Else only catches types that aren't in your rules. You fixed the only rogue value back in Module 3.</t>
  </si>
  <si>
    <t>How many are 'Full'?</t>
  </si>
  <si>
    <t>Full = every Adult — including the one whose typo you corrected.</t>
  </si>
  <si>
    <t>D2 - Members: 'Tenure' (from the join year)</t>
  </si>
  <si>
    <t>Add a Year column first (select JoinDate &gt; Add Column &gt; Date &gt; Year), then a conditional: year &lt;= 2019 -&gt; 'Veteran';  &lt;= 2021 -&gt; 'Established';  Else -&gt; 'Recent'.</t>
  </si>
  <si>
    <t>How many members are 'Veteran'?</t>
  </si>
  <si>
    <t>How many are 'Recent'?</t>
  </si>
  <si>
    <t>D3 - Payments: 'AmountReview'</t>
  </si>
  <si>
    <t>Rules: Amount &gt; 100 -&gt; 'Escalate';  &gt;= 50 -&gt; 'High';  &gt;= 30 -&gt; 'Standard';  Else -&gt; 'Low'. (Use the &gt; and &gt;= operators; build from the top down.)</t>
  </si>
  <si>
    <t>How many payments are 'Escalate'? (the outlier)</t>
  </si>
  <si>
    <t>How many are 'High'?</t>
  </si>
  <si>
    <t>How many are 'Standard'?</t>
  </si>
  <si>
    <t>Support - quick reference</t>
  </si>
  <si>
    <t>Menu paths for this module.</t>
  </si>
  <si>
    <t>Split a column</t>
  </si>
  <si>
    <t>Select the column &gt; Home &gt; Split Column &gt; By Delimiter &gt; choose the delimiter &gt; OK. Rename the new columns.</t>
  </si>
  <si>
    <t>Trim spaces</t>
  </si>
  <si>
    <t>Select the column &gt; Transform &gt; Format &gt; Trim.</t>
  </si>
  <si>
    <t>Fill down / up</t>
  </si>
  <si>
    <t>Select the column &gt; Transform &gt; Fill &gt; Down (or Up).</t>
  </si>
  <si>
    <t>Add a custom column</t>
  </si>
  <si>
    <t>Add Column &gt; Custom Column &gt; name it &gt; type the formula (use &amp; to join text, [Column] for fields) &gt; OK.</t>
  </si>
  <si>
    <t>Column from examples</t>
  </si>
  <si>
    <t>Add Column &gt; Column From Examples &gt; type a couple of example outputs &gt; OK &gt; rename.</t>
  </si>
  <si>
    <t>Extract the year</t>
  </si>
  <si>
    <t>Select a Date column &gt; Add Column &gt; Date &gt; Year (set the column's type to Date first).</t>
  </si>
  <si>
    <t>Conditional column</t>
  </si>
  <si>
    <t>Add Column &gt; Conditional Column &gt; set rules with 'Add rule' &gt; set Else &gt; OK.</t>
  </si>
  <si>
    <t>Undo one step</t>
  </si>
  <si>
    <t>Applied Steps &gt; click the X next to the step.</t>
  </si>
  <si>
    <t>Finish</t>
  </si>
  <si>
    <t>Home &gt; Close &amp; Load To... &gt; Only Create Connection.</t>
  </si>
  <si>
    <t>Stretch - towards Distinction</t>
  </si>
  <si>
    <t>Combine ideas and explain your choices.</t>
  </si>
  <si>
    <t>Distinction-level shaping means building logic from more than one field and justifying why.</t>
  </si>
  <si>
    <t>A harder conditional (self-marked)</t>
  </si>
  <si>
    <t>Answer</t>
  </si>
  <si>
    <t>Build 'Priority': if Amount&gt;100 -&gt; 'Escalate'; else if Method='Cash' AND Amount&gt;=50 -&gt; 'Check cash'; else 'Normal'. How many are 'Check cash'?</t>
  </si>
  <si>
    <t>List the three Cash amounts first, then apply the &gt;=50 test to each. Rules read top-down: &gt;100 wins first.</t>
  </si>
  <si>
    <t>Reasoning prompts (write your own - no marking)</t>
  </si>
  <si>
    <t>When would you use Column From Examples instead of a Custom Column - and vice versa?</t>
  </si>
  <si>
    <t>Your 'Needs review' segment is now empty because you cleaned the data first. Why keep the Else rule anyway?</t>
  </si>
  <si>
    <t>Why shape data in Power Query rather than typing these columns by hand in a sheet?</t>
  </si>
  <si>
    <t>Confidence &amp; Next Steps</t>
  </si>
  <si>
    <t>Your readiness gate for Module 5</t>
  </si>
  <si>
    <t>Mastery gate - ready for Module 5 when you can honestly tick all of these</t>
  </si>
  <si>
    <t>Type x in each yellow box you can tick.</t>
  </si>
  <si>
    <t>I split the member name into first and last names</t>
  </si>
  <si>
    <t>I filled the dates down and the batch refs up</t>
  </si>
  <si>
    <t>I added a custom column and a column from examples</t>
  </si>
  <si>
    <t>I built all three conditional columns with their rules</t>
  </si>
  <si>
    <t>My shaped queries are still loaded as connections only</t>
  </si>
  <si>
    <t>Re-rate your confidence (compare with your baseline)</t>
  </si>
  <si>
    <t>Seeing these rise from your Module 4 baseline is the goal.</t>
  </si>
  <si>
    <t>Now (1-5)</t>
  </si>
  <si>
    <t>Next up - Module 5: Blending &amp; Linking. You'll bring tables together two ways - APPEND (stack like rows) and MERGE (join on a key), and learn the difference between an inner join and a left outer join. Your clean, shaped queries are ready for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</si>
</sst>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charset val="1"/>
    </font>
    <font>
      <b/>
      <sz val="18"/>
      <color rgb="FFFFFFFF"/>
      <name val="Arial"/>
      <family val="2"/>
    </font>
    <font>
      <b/>
      <sz val="7"/>
      <color rgb="FF8C8C8C"/>
      <name val="Arial"/>
      <family val="2"/>
    </font>
    <font>
      <sz val="11"/>
      <color rgb="FFFFFFFF"/>
      <name val="Arial"/>
      <family val="2"/>
    </font>
    <font>
      <sz val="8"/>
      <color rgb="FF595959"/>
      <name val="Arial"/>
      <family val="2"/>
    </font>
    <font>
      <b/>
      <sz val="8"/>
      <color rgb="FFFFFFFF"/>
      <name val="Arial"/>
      <family val="2"/>
    </font>
    <font>
      <sz val="11"/>
      <color rgb="FF000000"/>
      <name val="Arial"/>
      <family val="2"/>
    </font>
    <font>
      <b/>
      <sz val="12"/>
      <color rgb="FF1F3B57"/>
      <name val="Arial"/>
      <family val="2"/>
    </font>
    <font>
      <sz val="11"/>
      <color rgb="FF006100"/>
      <name val="Arial"/>
      <family val="2"/>
    </font>
    <font>
      <b/>
      <sz val="10.5"/>
      <color rgb="FFFFFFFF"/>
      <name val="Arial"/>
      <family val="2"/>
    </font>
    <font>
      <b/>
      <sz val="10"/>
      <color rgb="FF1F6B6B"/>
      <name val="Arial"/>
      <family val="2"/>
    </font>
    <font>
      <b/>
      <sz val="11"/>
      <name val="Arial"/>
      <family val="2"/>
    </font>
    <font>
      <i/>
      <sz val="9.5"/>
      <color rgb="FF3F6363"/>
      <name val="Arial"/>
      <family val="2"/>
    </font>
    <font>
      <sz val="10.5"/>
      <color rgb="FF5B4A1F"/>
      <name val="Arial"/>
      <family val="2"/>
    </font>
    <font>
      <b/>
      <sz val="11"/>
      <color rgb="FF1F3B57"/>
      <name val="Arial"/>
      <family val="2"/>
    </font>
  </fonts>
  <fills count="10">
    <fill>
      <patternFill patternType="none"/>
    </fill>
    <fill>
      <patternFill patternType="gray125"/>
    </fill>
    <fill>
      <patternFill patternType="solid">
        <fgColor rgb="FF1F3B57"/>
        <bgColor rgb="FF003366"/>
      </patternFill>
    </fill>
    <fill>
      <patternFill patternType="solid">
        <fgColor rgb="FF2E8B8B"/>
        <bgColor rgb="FF2E75B6"/>
      </patternFill>
    </fill>
    <fill>
      <patternFill patternType="solid">
        <fgColor rgb="FFE2E6EA"/>
        <bgColor rgb="FFEAF2F2"/>
      </patternFill>
    </fill>
    <fill>
      <patternFill patternType="solid">
        <fgColor rgb="FFEAF2F2"/>
        <bgColor rgb="FFEFF6F6"/>
      </patternFill>
    </fill>
    <fill>
      <patternFill patternType="solid">
        <fgColor rgb="FFC6EFCE"/>
        <bgColor rgb="FFE2E6EA"/>
      </patternFill>
    </fill>
    <fill>
      <patternFill patternType="solid">
        <fgColor rgb="FFFFF3C4"/>
        <bgColor rgb="FFFDF4E3"/>
      </patternFill>
    </fill>
    <fill>
      <patternFill patternType="solid">
        <fgColor rgb="FFEFF6F6"/>
        <bgColor rgb="FFF5F5F5"/>
      </patternFill>
    </fill>
    <fill>
      <patternFill patternType="solid">
        <fgColor rgb="FFFDF4E3"/>
        <bgColor rgb="FFF5F5F5"/>
      </patternFill>
    </fill>
  </fills>
  <borders count="8">
    <border>
      <left/>
      <right/>
      <top/>
      <bottom/>
      <diagonal/>
    </border>
    <border>
      <left/>
      <right/>
      <top/>
      <bottom style="medium">
        <color rgb="FF2E8B8B"/>
      </bottom>
      <diagonal/>
    </border>
    <border>
      <left style="thick">
        <color rgb="FF2E8B8B"/>
      </left>
      <right/>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2E8B8B"/>
      </left>
      <right style="hair">
        <color rgb="FF9DC3C3"/>
      </right>
      <top style="hair">
        <color rgb="FF9DC3C3"/>
      </top>
      <bottom style="hair">
        <color rgb="FF9DC3C3"/>
      </bottom>
      <diagonal/>
    </border>
    <border>
      <left style="thick">
        <color rgb="FFE8A33D"/>
      </left>
      <right/>
      <top/>
      <bottom/>
      <diagonal/>
    </border>
  </borders>
  <cellStyleXfs count="1">
    <xf numFmtId="0" fontId="0" fillId="0" borderId="0"/>
  </cellStyleXfs>
  <cellXfs count="25">
    <xf numFmtId="0" fontId="0" fillId="0" borderId="0" xfId="0"/>
    <xf numFmtId="0" fontId="13" fillId="9" borderId="7" xfId="0" applyFont="1" applyFill="1" applyBorder="1" applyAlignment="1">
      <alignment vertical="top" wrapText="1"/>
    </xf>
    <xf numFmtId="0" fontId="9" fillId="2" borderId="0" xfId="0" applyFont="1" applyFill="1" applyAlignment="1">
      <alignment horizontal="left" vertical="center" wrapText="1" indent="1"/>
    </xf>
    <xf numFmtId="0" fontId="6" fillId="0" borderId="4" xfId="0" applyFont="1" applyBorder="1" applyAlignment="1">
      <alignment vertical="top" wrapText="1"/>
    </xf>
    <xf numFmtId="0" fontId="9" fillId="2" borderId="0" xfId="0" applyFont="1" applyFill="1" applyAlignment="1">
      <alignment vertical="center" wrapText="1" indent="1"/>
    </xf>
    <xf numFmtId="0" fontId="8" fillId="6" borderId="3" xfId="0" applyFont="1" applyFill="1" applyBorder="1" applyAlignment="1">
      <alignment vertical="top" wrapText="1"/>
    </xf>
    <xf numFmtId="0" fontId="7" fillId="5" borderId="2" xfId="0" applyFont="1" applyFill="1" applyBorder="1" applyAlignment="1">
      <alignment vertical="center" indent="1"/>
    </xf>
    <xf numFmtId="0" fontId="6" fillId="0" borderId="0" xfId="0" applyFont="1" applyAlignment="1">
      <alignment vertical="top" wrapText="1"/>
    </xf>
    <xf numFmtId="0" fontId="3" fillId="3" borderId="1" xfId="0" applyFont="1" applyFill="1" applyBorder="1" applyAlignment="1">
      <alignment horizontal="left" vertical="center"/>
    </xf>
    <xf numFmtId="0" fontId="1" fillId="2" borderId="0" xfId="0" applyFont="1" applyFill="1" applyAlignment="1">
      <alignment horizontal="left" vertical="center"/>
    </xf>
    <xf numFmtId="0" fontId="2" fillId="0" borderId="0" xfId="0" applyFont="1"/>
    <xf numFmtId="0" fontId="4" fillId="4" borderId="0" xfId="0" applyFont="1" applyFill="1" applyAlignment="1">
      <alignment horizontal="center" vertical="center"/>
    </xf>
    <xf numFmtId="0" fontId="5" fillId="3" borderId="0" xfId="0" applyFont="1" applyFill="1" applyAlignment="1">
      <alignment horizontal="center" vertical="center"/>
    </xf>
    <xf numFmtId="0" fontId="6" fillId="0" borderId="0" xfId="0" applyFont="1" applyAlignment="1">
      <alignment vertical="top" wrapText="1"/>
    </xf>
    <xf numFmtId="0" fontId="9" fillId="2" borderId="0" xfId="0" applyFont="1" applyFill="1" applyAlignment="1">
      <alignment vertical="center" wrapText="1"/>
    </xf>
    <xf numFmtId="0" fontId="9" fillId="2" borderId="0" xfId="0" applyFont="1" applyFill="1" applyAlignment="1">
      <alignment horizontal="center" vertical="center" wrapText="1"/>
    </xf>
    <xf numFmtId="0" fontId="10" fillId="0" borderId="0" xfId="0" applyFont="1" applyAlignment="1">
      <alignment vertical="center"/>
    </xf>
    <xf numFmtId="0" fontId="11" fillId="0" borderId="5" xfId="0" applyFont="1" applyBorder="1" applyAlignment="1">
      <alignment horizontal="center" vertical="center"/>
    </xf>
    <xf numFmtId="0" fontId="12" fillId="8" borderId="6" xfId="0" applyFont="1" applyFill="1" applyBorder="1" applyAlignment="1">
      <alignment vertical="top" wrapText="1"/>
    </xf>
    <xf numFmtId="0" fontId="14" fillId="0" borderId="5" xfId="0" applyFont="1" applyBorder="1" applyAlignment="1">
      <alignment vertical="top" wrapText="1"/>
    </xf>
    <xf numFmtId="0" fontId="6" fillId="0" borderId="5" xfId="0" applyFont="1" applyBorder="1" applyAlignment="1">
      <alignment vertical="top" wrapText="1"/>
    </xf>
    <xf numFmtId="0" fontId="9" fillId="2" borderId="0" xfId="0" applyFont="1" applyFill="1" applyAlignment="1">
      <alignment horizontal="center" vertical="center" wrapText="1" indent="1"/>
    </xf>
    <xf numFmtId="0" fontId="0" fillId="7" borderId="4" xfId="0" applyFill="1" applyBorder="1" applyAlignment="1" applyProtection="1">
      <alignment horizontal="center" vertical="center"/>
      <protection locked="0"/>
    </xf>
    <xf numFmtId="0" fontId="0" fillId="7" borderId="5" xfId="0" applyFill="1" applyBorder="1" applyAlignment="1" applyProtection="1">
      <alignment horizontal="center" vertical="center"/>
      <protection locked="0"/>
    </xf>
    <xf numFmtId="0" fontId="0" fillId="7" borderId="4" xfId="0" applyFill="1" applyBorder="1" applyAlignment="1" applyProtection="1">
      <alignment vertical="top" wrapText="1"/>
      <protection locked="0"/>
    </xf>
  </cellXfs>
  <cellStyles count="1">
    <cellStyle name="Normal" xfId="0" builtinId="0"/>
  </cellStyles>
  <dxfs count="18">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1F6B6B"/>
      <rgbColor rgb="FFBFBFBF"/>
      <rgbColor rgb="FF7F7F7F"/>
      <rgbColor rgb="FF9999FF"/>
      <rgbColor rgb="FF7030A0"/>
      <rgbColor rgb="FFFFF3C4"/>
      <rgbColor rgb="FFEAF2F2"/>
      <rgbColor rgb="FF660066"/>
      <rgbColor rgb="FFFF8080"/>
      <rgbColor rgb="FF0066CC"/>
      <rgbColor rgb="FFE2E6EA"/>
      <rgbColor rgb="FF000080"/>
      <rgbColor rgb="FFFF00FF"/>
      <rgbColor rgb="FFFFFF00"/>
      <rgbColor rgb="FF00FFFF"/>
      <rgbColor rgb="FF800080"/>
      <rgbColor rgb="FF800000"/>
      <rgbColor rgb="FF008080"/>
      <rgbColor rgb="FF0000FF"/>
      <rgbColor rgb="FF00CCFF"/>
      <rgbColor rgb="FFEFF6F6"/>
      <rgbColor rgb="FFC6EFCE"/>
      <rgbColor rgb="FFFDF4E3"/>
      <rgbColor rgb="FF9DC3C3"/>
      <rgbColor rgb="FFF5F5F5"/>
      <rgbColor rgb="FFCC99FF"/>
      <rgbColor rgb="FFFFC7CE"/>
      <rgbColor rgb="FF2E75B6"/>
      <rgbColor rgb="FF33CCCC"/>
      <rgbColor rgb="FF99CC00"/>
      <rgbColor rgb="FFFFCC00"/>
      <rgbColor rgb="FFE8A33D"/>
      <rgbColor rgb="FFBF8F00"/>
      <rgbColor rgb="FF595959"/>
      <rgbColor rgb="FF8C8C8C"/>
      <rgbColor rgb="FF003366"/>
      <rgbColor rgb="FF2E8B8B"/>
      <rgbColor rgb="FF003300"/>
      <rgbColor rgb="FF5B4A1F"/>
      <rgbColor rgb="FF993300"/>
      <rgbColor rgb="FF993366"/>
      <rgbColor rgb="FF3F6363"/>
      <rgbColor rgb="FF1F3B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12</xdr:row>
      <xdr:rowOff>114300</xdr:rowOff>
    </xdr:from>
    <xdr:to>
      <xdr:col>7</xdr:col>
      <xdr:colOff>313492</xdr:colOff>
      <xdr:row>13</xdr:row>
      <xdr:rowOff>4190465</xdr:rowOff>
    </xdr:to>
    <xdr:pic>
      <xdr:nvPicPr>
        <xdr:cNvPr id="2" name="Picture 1">
          <a:extLst>
            <a:ext uri="{FF2B5EF4-FFF2-40B4-BE49-F238E27FC236}">
              <a16:creationId xmlns:a16="http://schemas.microsoft.com/office/drawing/2014/main" id="{D7E8DAA5-13C5-F3BD-0F3D-E75614AA7C8B}"/>
            </a:ext>
          </a:extLst>
        </xdr:cNvPr>
        <xdr:cNvPicPr>
          <a:picLocks noChangeAspect="1"/>
        </xdr:cNvPicPr>
      </xdr:nvPicPr>
      <xdr:blipFill>
        <a:blip xmlns:r="http://schemas.openxmlformats.org/officeDocument/2006/relationships" r:embed="rId1"/>
        <a:stretch>
          <a:fillRect/>
        </a:stretch>
      </xdr:blipFill>
      <xdr:spPr>
        <a:xfrm>
          <a:off x="247650" y="3581400"/>
          <a:ext cx="6666667" cy="4276190"/>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11</xdr:row>
      <xdr:rowOff>217246</xdr:rowOff>
    </xdr:from>
    <xdr:to>
      <xdr:col>9</xdr:col>
      <xdr:colOff>2562772</xdr:colOff>
      <xdr:row>13</xdr:row>
      <xdr:rowOff>95250</xdr:rowOff>
    </xdr:to>
    <xdr:pic>
      <xdr:nvPicPr>
        <xdr:cNvPr id="3" name="Picture 2">
          <a:extLst>
            <a:ext uri="{FF2B5EF4-FFF2-40B4-BE49-F238E27FC236}">
              <a16:creationId xmlns:a16="http://schemas.microsoft.com/office/drawing/2014/main" id="{2103B7BD-2614-1217-B1E4-C665518A3E64}"/>
            </a:ext>
          </a:extLst>
        </xdr:cNvPr>
        <xdr:cNvPicPr>
          <a:picLocks noChangeAspect="1"/>
        </xdr:cNvPicPr>
      </xdr:nvPicPr>
      <xdr:blipFill>
        <a:blip xmlns:r="http://schemas.openxmlformats.org/officeDocument/2006/relationships" r:embed="rId1"/>
        <a:stretch>
          <a:fillRect/>
        </a:stretch>
      </xdr:blipFill>
      <xdr:spPr>
        <a:xfrm>
          <a:off x="123825" y="3284296"/>
          <a:ext cx="10077997" cy="5307254"/>
        </a:xfrm>
        <a:prstGeom prst="rect">
          <a:avLst/>
        </a:prstGeom>
        <a:ln>
          <a:solidFill>
            <a:schemeClr val="accent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76200</xdr:colOff>
      <xdr:row>10</xdr:row>
      <xdr:rowOff>254496</xdr:rowOff>
    </xdr:from>
    <xdr:to>
      <xdr:col>9</xdr:col>
      <xdr:colOff>1502669</xdr:colOff>
      <xdr:row>11</xdr:row>
      <xdr:rowOff>4551749</xdr:rowOff>
    </xdr:to>
    <xdr:pic>
      <xdr:nvPicPr>
        <xdr:cNvPr id="2" name="Picture 1">
          <a:extLst>
            <a:ext uri="{FF2B5EF4-FFF2-40B4-BE49-F238E27FC236}">
              <a16:creationId xmlns:a16="http://schemas.microsoft.com/office/drawing/2014/main" id="{9FD87B48-6FA1-8202-C23D-61EC21943BEC}"/>
            </a:ext>
          </a:extLst>
        </xdr:cNvPr>
        <xdr:cNvPicPr>
          <a:picLocks noChangeAspect="1"/>
        </xdr:cNvPicPr>
      </xdr:nvPicPr>
      <xdr:blipFill>
        <a:blip xmlns:r="http://schemas.openxmlformats.org/officeDocument/2006/relationships" r:embed="rId1"/>
        <a:stretch>
          <a:fillRect/>
        </a:stretch>
      </xdr:blipFill>
      <xdr:spPr>
        <a:xfrm>
          <a:off x="276225" y="3092946"/>
          <a:ext cx="8865494" cy="4668728"/>
        </a:xfrm>
        <a:prstGeom prst="rect">
          <a:avLst/>
        </a:prstGeom>
        <a:ln>
          <a:solidFill>
            <a:schemeClr val="accent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7</xdr:col>
      <xdr:colOff>227771</xdr:colOff>
      <xdr:row>15</xdr:row>
      <xdr:rowOff>723382</xdr:rowOff>
    </xdr:to>
    <xdr:pic>
      <xdr:nvPicPr>
        <xdr:cNvPr id="2" name="Picture 1">
          <a:extLst>
            <a:ext uri="{FF2B5EF4-FFF2-40B4-BE49-F238E27FC236}">
              <a16:creationId xmlns:a16="http://schemas.microsoft.com/office/drawing/2014/main" id="{469933D1-4193-A59A-F18E-B548B3FE0234}"/>
            </a:ext>
          </a:extLst>
        </xdr:cNvPr>
        <xdr:cNvPicPr>
          <a:picLocks noChangeAspect="1"/>
        </xdr:cNvPicPr>
      </xdr:nvPicPr>
      <xdr:blipFill>
        <a:blip xmlns:r="http://schemas.openxmlformats.org/officeDocument/2006/relationships" r:embed="rId1"/>
        <a:stretch>
          <a:fillRect/>
        </a:stretch>
      </xdr:blipFill>
      <xdr:spPr>
        <a:xfrm>
          <a:off x="200025" y="3714750"/>
          <a:ext cx="6628571" cy="4142857"/>
        </a:xfrm>
        <a:prstGeom prst="rect">
          <a:avLst/>
        </a:prstGeom>
        <a:ln>
          <a:solidFill>
            <a:schemeClr val="accent1"/>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12</xdr:row>
      <xdr:rowOff>99466</xdr:rowOff>
    </xdr:from>
    <xdr:to>
      <xdr:col>10</xdr:col>
      <xdr:colOff>45344</xdr:colOff>
      <xdr:row>14</xdr:row>
      <xdr:rowOff>1741874</xdr:rowOff>
    </xdr:to>
    <xdr:pic>
      <xdr:nvPicPr>
        <xdr:cNvPr id="2" name="Picture 1">
          <a:extLst>
            <a:ext uri="{FF2B5EF4-FFF2-40B4-BE49-F238E27FC236}">
              <a16:creationId xmlns:a16="http://schemas.microsoft.com/office/drawing/2014/main" id="{F76C2982-A828-DAEA-E100-C0794D8BA608}"/>
            </a:ext>
          </a:extLst>
        </xdr:cNvPr>
        <xdr:cNvPicPr>
          <a:picLocks noChangeAspect="1"/>
        </xdr:cNvPicPr>
      </xdr:nvPicPr>
      <xdr:blipFill>
        <a:blip xmlns:r="http://schemas.openxmlformats.org/officeDocument/2006/relationships" r:embed="rId1"/>
        <a:stretch>
          <a:fillRect/>
        </a:stretch>
      </xdr:blipFill>
      <xdr:spPr>
        <a:xfrm>
          <a:off x="219075" y="3738016"/>
          <a:ext cx="10932419" cy="5757208"/>
        </a:xfrm>
        <a:prstGeom prst="rect">
          <a:avLst/>
        </a:prstGeom>
        <a:ln>
          <a:solidFill>
            <a:schemeClr val="accent1"/>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9</xdr:col>
      <xdr:colOff>1332403</xdr:colOff>
      <xdr:row>12</xdr:row>
      <xdr:rowOff>3676190</xdr:rowOff>
    </xdr:to>
    <xdr:pic>
      <xdr:nvPicPr>
        <xdr:cNvPr id="2" name="Picture 1">
          <a:extLst>
            <a:ext uri="{FF2B5EF4-FFF2-40B4-BE49-F238E27FC236}">
              <a16:creationId xmlns:a16="http://schemas.microsoft.com/office/drawing/2014/main" id="{7009A238-A34C-3665-0A48-DE1CC24A4787}"/>
            </a:ext>
          </a:extLst>
        </xdr:cNvPr>
        <xdr:cNvPicPr>
          <a:picLocks noChangeAspect="1"/>
        </xdr:cNvPicPr>
      </xdr:nvPicPr>
      <xdr:blipFill>
        <a:blip xmlns:r="http://schemas.openxmlformats.org/officeDocument/2006/relationships" r:embed="rId1"/>
        <a:stretch>
          <a:fillRect/>
        </a:stretch>
      </xdr:blipFill>
      <xdr:spPr>
        <a:xfrm>
          <a:off x="200025" y="3295650"/>
          <a:ext cx="8771428" cy="3676190"/>
        </a:xfrm>
        <a:prstGeom prst="rect">
          <a:avLst/>
        </a:prstGeom>
        <a:ln>
          <a:solidFill>
            <a:schemeClr val="accent1"/>
          </a:solid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sheetPr>
  <dimension ref="A1:V1000"/>
  <sheetViews>
    <sheetView showGridLines="0" zoomScaleNormal="100" workbookViewId="0">
      <selection activeCell="G26" sqref="G26:H26"/>
    </sheetView>
  </sheetViews>
  <sheetFormatPr defaultColWidth="14.42578125" defaultRowHeight="15" x14ac:dyDescent="0.25"/>
  <cols>
    <col min="1" max="1" width="3" customWidth="1"/>
    <col min="2" max="2" width="24" customWidth="1"/>
    <col min="3" max="5" width="14" customWidth="1"/>
    <col min="6" max="6" width="16" customWidth="1"/>
    <col min="7" max="7" width="14" customWidth="1"/>
    <col min="8" max="8" width="16" customWidth="1"/>
    <col min="10" max="22" width="3.42578125" customWidth="1"/>
  </cols>
  <sheetData>
    <row r="1" spans="1:22" ht="30" customHeight="1" x14ac:dyDescent="0.25">
      <c r="A1" s="9" t="s">
        <v>0</v>
      </c>
      <c r="B1" s="9"/>
      <c r="C1" s="9"/>
      <c r="D1" s="9"/>
      <c r="E1" s="9"/>
      <c r="F1" s="9"/>
      <c r="G1" s="9"/>
      <c r="H1" s="9"/>
      <c r="J1" s="10" t="s">
        <v>1</v>
      </c>
    </row>
    <row r="2" spans="1:22" ht="21.75" customHeight="1" x14ac:dyDescent="0.25">
      <c r="A2" s="8" t="s">
        <v>2</v>
      </c>
      <c r="B2" s="8"/>
      <c r="C2" s="8"/>
      <c r="D2" s="8"/>
      <c r="E2" s="8"/>
      <c r="F2" s="8"/>
      <c r="G2" s="8"/>
      <c r="H2" s="8"/>
      <c r="J2" s="11">
        <v>1</v>
      </c>
      <c r="K2" s="11">
        <v>2</v>
      </c>
      <c r="L2" s="11">
        <v>3</v>
      </c>
      <c r="M2" s="12">
        <v>4</v>
      </c>
      <c r="N2" s="11">
        <v>5</v>
      </c>
      <c r="O2" s="11">
        <v>6</v>
      </c>
      <c r="P2" s="11">
        <v>7</v>
      </c>
      <c r="Q2" s="11">
        <v>8</v>
      </c>
      <c r="R2" s="11">
        <v>9</v>
      </c>
      <c r="S2" s="11">
        <v>10</v>
      </c>
      <c r="T2" s="11">
        <v>11</v>
      </c>
      <c r="U2" s="11">
        <v>12</v>
      </c>
      <c r="V2" s="11">
        <v>13</v>
      </c>
    </row>
    <row r="4" spans="1:22" ht="57.75" customHeight="1" x14ac:dyDescent="0.25">
      <c r="A4" s="7" t="s">
        <v>3</v>
      </c>
      <c r="B4" s="7"/>
      <c r="C4" s="7"/>
      <c r="D4" s="7"/>
      <c r="E4" s="7"/>
      <c r="F4" s="7"/>
      <c r="G4" s="7"/>
      <c r="H4" s="7"/>
    </row>
    <row r="6" spans="1:22" ht="24" customHeight="1" x14ac:dyDescent="0.25">
      <c r="A6" s="6" t="s">
        <v>4</v>
      </c>
      <c r="B6" s="6"/>
      <c r="C6" s="6"/>
      <c r="D6" s="6"/>
      <c r="E6" s="6"/>
      <c r="F6" s="6"/>
      <c r="G6" s="6"/>
      <c r="H6" s="6"/>
    </row>
    <row r="7" spans="1:22" ht="15.75" customHeight="1" x14ac:dyDescent="0.25">
      <c r="B7" s="7" t="s">
        <v>5</v>
      </c>
      <c r="C7" s="7"/>
      <c r="D7" s="7"/>
      <c r="E7" s="7"/>
      <c r="F7" s="7"/>
      <c r="G7" s="7"/>
      <c r="H7" s="7"/>
    </row>
    <row r="8" spans="1:22" ht="15.75" customHeight="1" x14ac:dyDescent="0.25">
      <c r="B8" s="7" t="s">
        <v>6</v>
      </c>
      <c r="C8" s="7"/>
      <c r="D8" s="7"/>
      <c r="E8" s="7"/>
      <c r="F8" s="7"/>
      <c r="G8" s="7"/>
      <c r="H8" s="7"/>
    </row>
    <row r="9" spans="1:22" ht="15.75" customHeight="1" x14ac:dyDescent="0.25">
      <c r="B9" s="7" t="s">
        <v>7</v>
      </c>
      <c r="C9" s="7"/>
      <c r="D9" s="7"/>
      <c r="E9" s="7"/>
      <c r="F9" s="7"/>
      <c r="G9" s="7"/>
      <c r="H9" s="7"/>
    </row>
    <row r="10" spans="1:22" ht="15.75" customHeight="1" x14ac:dyDescent="0.25">
      <c r="B10" s="7" t="s">
        <v>8</v>
      </c>
      <c r="C10" s="7"/>
      <c r="D10" s="7"/>
      <c r="E10" s="7"/>
      <c r="F10" s="7"/>
      <c r="G10" s="7"/>
      <c r="H10" s="7"/>
    </row>
    <row r="11" spans="1:22" ht="15.75" customHeight="1" x14ac:dyDescent="0.25">
      <c r="B11" s="7" t="s">
        <v>9</v>
      </c>
      <c r="C11" s="7"/>
      <c r="D11" s="7"/>
      <c r="E11" s="7"/>
      <c r="F11" s="7"/>
      <c r="G11" s="7"/>
      <c r="H11" s="7"/>
    </row>
    <row r="13" spans="1:22" ht="24" customHeight="1" x14ac:dyDescent="0.25">
      <c r="A13" s="6" t="s">
        <v>10</v>
      </c>
      <c r="B13" s="6"/>
      <c r="C13" s="6"/>
      <c r="D13" s="6"/>
      <c r="E13" s="6"/>
      <c r="F13" s="6"/>
      <c r="G13" s="6"/>
      <c r="H13" s="6"/>
    </row>
    <row r="14" spans="1:22" ht="43.5" customHeight="1" x14ac:dyDescent="0.25">
      <c r="A14" s="7" t="s">
        <v>11</v>
      </c>
      <c r="B14" s="7"/>
      <c r="C14" s="7"/>
      <c r="D14" s="7"/>
      <c r="E14" s="7"/>
      <c r="F14" s="7"/>
      <c r="G14" s="7"/>
      <c r="H14" s="7"/>
    </row>
    <row r="17" spans="1:8" ht="24" customHeight="1" x14ac:dyDescent="0.25">
      <c r="A17" s="6" t="s">
        <v>12</v>
      </c>
      <c r="B17" s="6"/>
      <c r="C17" s="6"/>
      <c r="D17" s="6"/>
      <c r="E17" s="6"/>
      <c r="F17" s="6"/>
      <c r="G17" s="6"/>
      <c r="H17" s="6"/>
    </row>
    <row r="18" spans="1:8" ht="15" customHeight="1" x14ac:dyDescent="0.25">
      <c r="B18" s="5" t="s">
        <v>13</v>
      </c>
      <c r="C18" s="5"/>
      <c r="D18" s="5"/>
      <c r="E18" s="5"/>
      <c r="F18" s="5"/>
      <c r="G18" s="5"/>
      <c r="H18" s="5"/>
    </row>
    <row r="19" spans="1:8" ht="15" customHeight="1" x14ac:dyDescent="0.25">
      <c r="B19" s="5"/>
      <c r="C19" s="5"/>
      <c r="D19" s="5"/>
      <c r="E19" s="5"/>
      <c r="F19" s="5"/>
      <c r="G19" s="5"/>
      <c r="H19" s="5"/>
    </row>
    <row r="20" spans="1:8" ht="15" customHeight="1" x14ac:dyDescent="0.25">
      <c r="B20" s="5"/>
      <c r="C20" s="5"/>
      <c r="D20" s="5"/>
      <c r="E20" s="5"/>
      <c r="F20" s="5"/>
      <c r="G20" s="5"/>
      <c r="H20" s="5"/>
    </row>
    <row r="21" spans="1:8" ht="15.75" customHeight="1" x14ac:dyDescent="0.25"/>
    <row r="22" spans="1:8" ht="24" customHeight="1" x14ac:dyDescent="0.25">
      <c r="A22" s="6" t="s">
        <v>14</v>
      </c>
      <c r="B22" s="6"/>
      <c r="C22" s="6"/>
      <c r="D22" s="6"/>
      <c r="E22" s="6"/>
      <c r="F22" s="6"/>
      <c r="G22" s="6"/>
      <c r="H22" s="6"/>
    </row>
    <row r="23" spans="1:8" ht="18" customHeight="1" x14ac:dyDescent="0.25">
      <c r="B23" s="4" t="s">
        <v>15</v>
      </c>
      <c r="C23" s="4"/>
      <c r="D23" s="4"/>
      <c r="E23" s="4"/>
      <c r="F23" s="4"/>
      <c r="G23" s="14" t="s">
        <v>16</v>
      </c>
    </row>
    <row r="24" spans="1:8" ht="15" customHeight="1" x14ac:dyDescent="0.25">
      <c r="B24" s="3" t="s">
        <v>17</v>
      </c>
      <c r="C24" s="3"/>
      <c r="D24" s="3"/>
      <c r="E24" s="3"/>
      <c r="F24" s="3"/>
      <c r="G24" s="22"/>
      <c r="H24" s="22"/>
    </row>
    <row r="25" spans="1:8" ht="15" customHeight="1" x14ac:dyDescent="0.25">
      <c r="B25" s="3" t="s">
        <v>18</v>
      </c>
      <c r="C25" s="3"/>
      <c r="D25" s="3"/>
      <c r="E25" s="3"/>
      <c r="F25" s="3"/>
      <c r="G25" s="22"/>
      <c r="H25" s="22"/>
    </row>
    <row r="26" spans="1:8" ht="15" customHeight="1" x14ac:dyDescent="0.25">
      <c r="B26" s="3" t="s">
        <v>19</v>
      </c>
      <c r="C26" s="3"/>
      <c r="D26" s="3"/>
      <c r="E26" s="3"/>
      <c r="F26" s="3"/>
      <c r="G26" s="22"/>
      <c r="H26" s="22"/>
    </row>
    <row r="27" spans="1:8" ht="15" customHeight="1" x14ac:dyDescent="0.25">
      <c r="B27" s="3" t="s">
        <v>20</v>
      </c>
      <c r="C27" s="3"/>
      <c r="D27" s="3"/>
      <c r="E27" s="3"/>
      <c r="F27" s="3"/>
      <c r="G27" s="22"/>
      <c r="H27" s="22"/>
    </row>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3">
    <mergeCell ref="B27:F27"/>
    <mergeCell ref="G27:H27"/>
    <mergeCell ref="B24:F24"/>
    <mergeCell ref="G24:H24"/>
    <mergeCell ref="B25:F25"/>
    <mergeCell ref="G25:H25"/>
    <mergeCell ref="B26:F26"/>
    <mergeCell ref="G26:H26"/>
    <mergeCell ref="A14:H14"/>
    <mergeCell ref="A17:H17"/>
    <mergeCell ref="B18:H20"/>
    <mergeCell ref="A22:H22"/>
    <mergeCell ref="B23:F23"/>
    <mergeCell ref="B8:H8"/>
    <mergeCell ref="B9:H9"/>
    <mergeCell ref="B10:H10"/>
    <mergeCell ref="B11:H11"/>
    <mergeCell ref="A13:H13"/>
    <mergeCell ref="A1:H1"/>
    <mergeCell ref="A2:H2"/>
    <mergeCell ref="A4:H4"/>
    <mergeCell ref="A6:H6"/>
    <mergeCell ref="B7:H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J998"/>
  <sheetViews>
    <sheetView showGridLines="0" topLeftCell="A9" zoomScaleNormal="100" workbookViewId="0">
      <selection activeCell="F20" sqref="F20"/>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8" ht="30" customHeight="1" x14ac:dyDescent="0.25">
      <c r="A1" s="9" t="s">
        <v>21</v>
      </c>
      <c r="B1" s="9"/>
      <c r="C1" s="9"/>
      <c r="D1" s="9"/>
      <c r="E1" s="9"/>
      <c r="F1" s="9"/>
      <c r="G1" s="9"/>
      <c r="H1" s="9"/>
    </row>
    <row r="2" spans="1:8" ht="21.75" customHeight="1" x14ac:dyDescent="0.25">
      <c r="A2" s="8" t="s">
        <v>22</v>
      </c>
      <c r="B2" s="8"/>
      <c r="C2" s="8"/>
      <c r="D2" s="8"/>
      <c r="E2" s="8"/>
      <c r="F2" s="8"/>
      <c r="G2" s="8"/>
      <c r="H2" s="8"/>
    </row>
    <row r="4" spans="1:8" ht="45.75" customHeight="1" x14ac:dyDescent="0.25">
      <c r="A4" s="7" t="s">
        <v>23</v>
      </c>
      <c r="B4" s="7"/>
      <c r="C4" s="7"/>
      <c r="D4" s="7"/>
      <c r="E4" s="7"/>
      <c r="F4" s="7"/>
      <c r="G4" s="7"/>
      <c r="H4" s="7"/>
    </row>
    <row r="6" spans="1:8" ht="24" customHeight="1" x14ac:dyDescent="0.25">
      <c r="A6" s="6" t="s">
        <v>24</v>
      </c>
      <c r="B6" s="6"/>
      <c r="C6" s="6"/>
      <c r="D6" s="6"/>
      <c r="E6" s="6"/>
      <c r="F6" s="6"/>
      <c r="G6" s="6"/>
      <c r="H6" s="6"/>
    </row>
    <row r="7" spans="1:8" ht="18" customHeight="1" x14ac:dyDescent="0.25">
      <c r="B7" s="7" t="s">
        <v>25</v>
      </c>
      <c r="C7" s="7"/>
      <c r="D7" s="7"/>
      <c r="E7" s="7"/>
      <c r="F7" s="7"/>
      <c r="G7" s="7"/>
      <c r="H7" s="7"/>
    </row>
    <row r="8" spans="1:8" ht="18" customHeight="1" x14ac:dyDescent="0.25">
      <c r="B8" s="7" t="s">
        <v>26</v>
      </c>
      <c r="C8" s="7"/>
      <c r="D8" s="7"/>
      <c r="E8" s="7"/>
      <c r="F8" s="7"/>
      <c r="G8" s="7"/>
      <c r="H8" s="7"/>
    </row>
    <row r="9" spans="1:8" ht="18" customHeight="1" x14ac:dyDescent="0.25">
      <c r="B9" s="7" t="s">
        <v>27</v>
      </c>
      <c r="C9" s="7"/>
      <c r="D9" s="7"/>
      <c r="E9" s="7"/>
      <c r="F9" s="7"/>
      <c r="G9" s="7"/>
      <c r="H9" s="7"/>
    </row>
    <row r="10" spans="1:8" ht="18" customHeight="1" x14ac:dyDescent="0.25">
      <c r="B10" s="7" t="s">
        <v>28</v>
      </c>
      <c r="C10" s="7"/>
      <c r="D10" s="7"/>
      <c r="E10" s="7"/>
      <c r="F10" s="7"/>
      <c r="G10" s="7"/>
      <c r="H10" s="7"/>
    </row>
    <row r="11" spans="1:8" ht="18" customHeight="1" x14ac:dyDescent="0.25">
      <c r="B11" s="7" t="s">
        <v>29</v>
      </c>
      <c r="C11" s="7"/>
      <c r="D11" s="7"/>
      <c r="E11" s="7"/>
      <c r="F11" s="7"/>
      <c r="G11" s="7"/>
      <c r="H11" s="7"/>
    </row>
    <row r="12" spans="1:8" ht="31.5" customHeight="1" x14ac:dyDescent="0.25">
      <c r="B12" s="7" t="s">
        <v>30</v>
      </c>
      <c r="C12" s="7"/>
      <c r="D12" s="7"/>
      <c r="E12" s="7"/>
      <c r="F12" s="7"/>
      <c r="G12" s="7"/>
      <c r="H12" s="7"/>
    </row>
    <row r="13" spans="1:8" ht="15.75" customHeight="1" x14ac:dyDescent="0.25"/>
    <row r="14" spans="1:8" ht="344.25" customHeight="1" x14ac:dyDescent="0.25"/>
    <row r="16" spans="1:8" ht="24" customHeight="1" x14ac:dyDescent="0.25">
      <c r="A16" s="6" t="s">
        <v>31</v>
      </c>
      <c r="B16" s="6"/>
      <c r="C16" s="6"/>
      <c r="D16" s="6"/>
      <c r="E16" s="6"/>
      <c r="F16" s="6"/>
      <c r="G16" s="6"/>
      <c r="H16" s="6"/>
    </row>
    <row r="17" spans="1:10" ht="18" customHeight="1" x14ac:dyDescent="0.25">
      <c r="B17" s="2" t="s">
        <v>32</v>
      </c>
      <c r="C17" s="2"/>
      <c r="D17" s="2"/>
      <c r="E17" s="2"/>
      <c r="F17" s="15" t="s">
        <v>33</v>
      </c>
      <c r="G17" s="15" t="s">
        <v>34</v>
      </c>
      <c r="J17" s="16" t="s">
        <v>35</v>
      </c>
    </row>
    <row r="18" spans="1:10" ht="30" customHeight="1" x14ac:dyDescent="0.25">
      <c r="B18" s="3" t="s">
        <v>36</v>
      </c>
      <c r="C18" s="3"/>
      <c r="D18" s="3"/>
      <c r="E18" s="3"/>
      <c r="F18" s="23"/>
      <c r="G18" s="17" t="str">
        <f>IF(F18="","",IFERROR(IFERROR(IF(ABS(F18-6)&lt;0.01,"✓  Correct","✗  Try again"),"✗  Try again"),"✗  Try again"))</f>
        <v/>
      </c>
      <c r="J18" s="18" t="s">
        <v>37</v>
      </c>
    </row>
    <row r="19" spans="1:10" ht="30" customHeight="1" x14ac:dyDescent="0.25">
      <c r="B19" s="3" t="s">
        <v>38</v>
      </c>
      <c r="C19" s="3"/>
      <c r="D19" s="3"/>
      <c r="E19" s="3"/>
      <c r="F19" s="23"/>
      <c r="G19" s="17" t="str">
        <f>IF(F19="","",IF(ISNUMBER(SEARCH("Priya",F19)),"✓  Correct","✗  Try again"))</f>
        <v/>
      </c>
      <c r="J19" s="18" t="s">
        <v>39</v>
      </c>
    </row>
    <row r="20" spans="1:10" ht="30" customHeight="1" x14ac:dyDescent="0.25">
      <c r="B20" s="3" t="s">
        <v>40</v>
      </c>
      <c r="C20" s="3"/>
      <c r="D20" s="3"/>
      <c r="E20" s="3"/>
      <c r="F20" s="23"/>
      <c r="G20" s="17" t="str">
        <f>IF(F20="","",IF(ISNUMBER(SEARCH("Patel",F20)),"✓  Correct","✗  Try again"))</f>
        <v/>
      </c>
      <c r="J20" s="18" t="s">
        <v>41</v>
      </c>
    </row>
    <row r="21" spans="1:10" ht="15.75" customHeight="1" x14ac:dyDescent="0.25"/>
    <row r="22" spans="1:10" ht="33.75" customHeight="1" x14ac:dyDescent="0.25">
      <c r="A22" s="1" t="s">
        <v>42</v>
      </c>
      <c r="B22" s="1"/>
      <c r="C22" s="1"/>
      <c r="D22" s="1"/>
      <c r="E22" s="1"/>
      <c r="F22" s="1"/>
      <c r="G22" s="1"/>
      <c r="H22" s="1"/>
    </row>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sheetProtection sheet="1" objects="1" scenarios="1" selectLockedCells="1"/>
  <mergeCells count="16">
    <mergeCell ref="B20:E20"/>
    <mergeCell ref="A22:H22"/>
    <mergeCell ref="A16:H16"/>
    <mergeCell ref="B17:E17"/>
    <mergeCell ref="B18:E18"/>
    <mergeCell ref="B19:E19"/>
    <mergeCell ref="B8:H8"/>
    <mergeCell ref="B9:H9"/>
    <mergeCell ref="B10:H10"/>
    <mergeCell ref="B11:H11"/>
    <mergeCell ref="B12:H12"/>
    <mergeCell ref="A1:H1"/>
    <mergeCell ref="A2:H2"/>
    <mergeCell ref="A4:H4"/>
    <mergeCell ref="A6:H6"/>
    <mergeCell ref="B7:H7"/>
  </mergeCells>
  <conditionalFormatting sqref="G18:G20">
    <cfRule type="expression" dxfId="17" priority="2">
      <formula>ISNUMBER(SEARCH("Correct",G18))</formula>
    </cfRule>
    <cfRule type="expression" dxfId="16" priority="3">
      <formula>ISNUMBER(SEARCH("Try",G18))</formula>
    </cfRule>
  </conditionalFormatting>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J998"/>
  <sheetViews>
    <sheetView showGridLines="0" topLeftCell="A13" zoomScaleNormal="100" workbookViewId="0">
      <selection activeCell="F18" sqref="F18"/>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10" ht="30" customHeight="1" x14ac:dyDescent="0.25">
      <c r="A1" s="9" t="s">
        <v>43</v>
      </c>
      <c r="B1" s="9"/>
      <c r="C1" s="9"/>
      <c r="D1" s="9"/>
      <c r="E1" s="9"/>
      <c r="F1" s="9"/>
      <c r="G1" s="9"/>
      <c r="H1" s="9"/>
    </row>
    <row r="2" spans="1:10" ht="21.75" customHeight="1" x14ac:dyDescent="0.25">
      <c r="A2" s="8" t="s">
        <v>44</v>
      </c>
      <c r="B2" s="8"/>
      <c r="C2" s="8"/>
      <c r="D2" s="8"/>
      <c r="E2" s="8"/>
      <c r="F2" s="8"/>
      <c r="G2" s="8"/>
      <c r="H2" s="8"/>
    </row>
    <row r="4" spans="1:10" ht="45.75" customHeight="1" x14ac:dyDescent="0.25">
      <c r="A4" s="7" t="s">
        <v>45</v>
      </c>
      <c r="B4" s="7"/>
      <c r="C4" s="7"/>
      <c r="D4" s="7"/>
      <c r="E4" s="7"/>
      <c r="F4" s="7"/>
      <c r="G4" s="7"/>
      <c r="H4" s="7"/>
    </row>
    <row r="6" spans="1:10" ht="24" customHeight="1" x14ac:dyDescent="0.25">
      <c r="A6" s="6" t="s">
        <v>24</v>
      </c>
      <c r="B6" s="6"/>
      <c r="C6" s="6"/>
      <c r="D6" s="6"/>
      <c r="E6" s="6"/>
      <c r="F6" s="6"/>
      <c r="G6" s="6"/>
      <c r="H6" s="6"/>
    </row>
    <row r="7" spans="1:10" ht="18" customHeight="1" x14ac:dyDescent="0.25">
      <c r="B7" s="7" t="s">
        <v>46</v>
      </c>
      <c r="C7" s="7"/>
      <c r="D7" s="7"/>
      <c r="E7" s="7"/>
      <c r="F7" s="7"/>
      <c r="G7" s="7"/>
      <c r="H7" s="7"/>
    </row>
    <row r="8" spans="1:10" ht="18" customHeight="1" x14ac:dyDescent="0.25">
      <c r="B8" s="7" t="s">
        <v>47</v>
      </c>
      <c r="C8" s="7"/>
      <c r="D8" s="7"/>
      <c r="E8" s="7"/>
      <c r="F8" s="7"/>
      <c r="G8" s="7"/>
      <c r="H8" s="7"/>
    </row>
    <row r="9" spans="1:10" ht="18" customHeight="1" x14ac:dyDescent="0.25">
      <c r="B9" s="7" t="s">
        <v>48</v>
      </c>
      <c r="C9" s="7"/>
      <c r="D9" s="7"/>
      <c r="E9" s="7"/>
      <c r="F9" s="7"/>
      <c r="G9" s="7"/>
      <c r="H9" s="7"/>
    </row>
    <row r="10" spans="1:10" ht="18" customHeight="1" x14ac:dyDescent="0.25">
      <c r="B10" s="7" t="s">
        <v>49</v>
      </c>
      <c r="C10" s="7"/>
      <c r="D10" s="7"/>
      <c r="E10" s="7"/>
      <c r="F10" s="7"/>
      <c r="G10" s="7"/>
      <c r="H10" s="7"/>
    </row>
    <row r="11" spans="1:10" ht="18" customHeight="1" x14ac:dyDescent="0.25">
      <c r="B11" s="7" t="s">
        <v>50</v>
      </c>
      <c r="C11" s="7"/>
      <c r="D11" s="7"/>
      <c r="E11" s="7"/>
      <c r="F11" s="7"/>
      <c r="G11" s="7"/>
      <c r="H11" s="7"/>
    </row>
    <row r="12" spans="1:10" ht="18" customHeight="1" x14ac:dyDescent="0.25">
      <c r="B12" s="13"/>
      <c r="C12" s="13"/>
      <c r="D12" s="13"/>
      <c r="E12" s="13"/>
      <c r="F12" s="13"/>
      <c r="G12" s="13"/>
      <c r="H12" s="13"/>
    </row>
    <row r="13" spans="1:10" ht="409.5" customHeight="1" x14ac:dyDescent="0.25"/>
    <row r="15" spans="1:10" ht="24" customHeight="1" x14ac:dyDescent="0.25">
      <c r="A15" s="6" t="s">
        <v>31</v>
      </c>
      <c r="B15" s="6"/>
      <c r="C15" s="6"/>
      <c r="D15" s="6"/>
      <c r="E15" s="6"/>
      <c r="F15" s="6"/>
      <c r="G15" s="6"/>
      <c r="H15" s="6"/>
    </row>
    <row r="16" spans="1:10" ht="18" customHeight="1" x14ac:dyDescent="0.25">
      <c r="B16" s="2" t="s">
        <v>32</v>
      </c>
      <c r="C16" s="2"/>
      <c r="D16" s="2"/>
      <c r="E16" s="2"/>
      <c r="F16" s="15" t="s">
        <v>33</v>
      </c>
      <c r="G16" s="15" t="s">
        <v>34</v>
      </c>
      <c r="J16" s="16" t="s">
        <v>35</v>
      </c>
    </row>
    <row r="17" spans="1:10" ht="30" customHeight="1" x14ac:dyDescent="0.25">
      <c r="B17" s="3" t="s">
        <v>51</v>
      </c>
      <c r="C17" s="3"/>
      <c r="D17" s="3"/>
      <c r="E17" s="3"/>
      <c r="F17" s="23"/>
      <c r="G17" s="17" t="str">
        <f>IF(F17="","",IF(ISNUMBER(SEARCH("2024-01-10",F17)),"✓  Correct","✗  Try again"))</f>
        <v/>
      </c>
      <c r="J17" s="18" t="s">
        <v>52</v>
      </c>
    </row>
    <row r="18" spans="1:10" ht="30" customHeight="1" x14ac:dyDescent="0.25">
      <c r="B18" s="3" t="s">
        <v>53</v>
      </c>
      <c r="C18" s="3"/>
      <c r="D18" s="3"/>
      <c r="E18" s="3"/>
      <c r="F18" s="23"/>
      <c r="G18" s="17" t="str">
        <f>IF(F18="","",IFERROR(IFERROR(IF(ABS(F18-4)&lt;0.01,"✓  Correct","✗  Try again"),"✗  Try again"),"✗  Try again"))</f>
        <v/>
      </c>
      <c r="J18" s="18" t="s">
        <v>54</v>
      </c>
    </row>
    <row r="19" spans="1:10" ht="15.75" customHeight="1" x14ac:dyDescent="0.25"/>
    <row r="20" spans="1:10" ht="33.75" customHeight="1" x14ac:dyDescent="0.25">
      <c r="A20" s="1" t="s">
        <v>55</v>
      </c>
      <c r="B20" s="1"/>
      <c r="C20" s="1"/>
      <c r="D20" s="1"/>
      <c r="E20" s="1"/>
      <c r="F20" s="1"/>
      <c r="G20" s="1"/>
      <c r="H20" s="1"/>
    </row>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sheetProtection sheet="1" objects="1" scenarios="1" selectLockedCells="1"/>
  <mergeCells count="14">
    <mergeCell ref="A15:H15"/>
    <mergeCell ref="B16:E16"/>
    <mergeCell ref="B17:E17"/>
    <mergeCell ref="B18:E18"/>
    <mergeCell ref="A20:H20"/>
    <mergeCell ref="B8:H8"/>
    <mergeCell ref="B9:H9"/>
    <mergeCell ref="B10:H10"/>
    <mergeCell ref="B11:H11"/>
    <mergeCell ref="A1:H1"/>
    <mergeCell ref="A2:H2"/>
    <mergeCell ref="A4:H4"/>
    <mergeCell ref="A6:H6"/>
    <mergeCell ref="B7:H7"/>
  </mergeCells>
  <conditionalFormatting sqref="G17:G18">
    <cfRule type="expression" dxfId="15" priority="2">
      <formula>ISNUMBER(SEARCH("Correct",G17))</formula>
    </cfRule>
    <cfRule type="expression" dxfId="14" priority="3">
      <formula>ISNUMBER(SEARCH("Try",G17))</formula>
    </cfRule>
  </conditionalFormatting>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J997"/>
  <sheetViews>
    <sheetView showGridLines="0" zoomScaleNormal="100" workbookViewId="0">
      <selection activeCell="F17" sqref="F17"/>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10" ht="30" customHeight="1" x14ac:dyDescent="0.25">
      <c r="A1" s="9" t="s">
        <v>56</v>
      </c>
      <c r="B1" s="9"/>
      <c r="C1" s="9"/>
      <c r="D1" s="9"/>
      <c r="E1" s="9"/>
      <c r="F1" s="9"/>
      <c r="G1" s="9"/>
      <c r="H1" s="9"/>
    </row>
    <row r="2" spans="1:10" ht="21.75" customHeight="1" x14ac:dyDescent="0.25">
      <c r="A2" s="8" t="s">
        <v>57</v>
      </c>
      <c r="B2" s="8"/>
      <c r="C2" s="8"/>
      <c r="D2" s="8"/>
      <c r="E2" s="8"/>
      <c r="F2" s="8"/>
      <c r="G2" s="8"/>
      <c r="H2" s="8"/>
    </row>
    <row r="4" spans="1:10" ht="45.75" customHeight="1" x14ac:dyDescent="0.25">
      <c r="A4" s="7" t="s">
        <v>58</v>
      </c>
      <c r="B4" s="7"/>
      <c r="C4" s="7"/>
      <c r="D4" s="7"/>
      <c r="E4" s="7"/>
      <c r="F4" s="7"/>
      <c r="G4" s="7"/>
      <c r="H4" s="7"/>
    </row>
    <row r="6" spans="1:10" ht="24" customHeight="1" x14ac:dyDescent="0.25">
      <c r="A6" s="6" t="s">
        <v>24</v>
      </c>
      <c r="B6" s="6"/>
      <c r="C6" s="6"/>
      <c r="D6" s="6"/>
      <c r="E6" s="6"/>
      <c r="F6" s="6"/>
      <c r="G6" s="6"/>
      <c r="H6" s="6"/>
    </row>
    <row r="7" spans="1:10" ht="18" customHeight="1" x14ac:dyDescent="0.25">
      <c r="B7" s="7" t="s">
        <v>59</v>
      </c>
      <c r="C7" s="7"/>
      <c r="D7" s="7"/>
      <c r="E7" s="7"/>
      <c r="F7" s="7"/>
      <c r="G7" s="7"/>
      <c r="H7" s="7"/>
    </row>
    <row r="8" spans="1:10" ht="18" customHeight="1" x14ac:dyDescent="0.25">
      <c r="B8" s="7" t="s">
        <v>60</v>
      </c>
      <c r="C8" s="7"/>
      <c r="D8" s="7"/>
      <c r="E8" s="7"/>
      <c r="F8" s="7"/>
      <c r="G8" s="7"/>
      <c r="H8" s="7"/>
    </row>
    <row r="9" spans="1:10" ht="18" customHeight="1" x14ac:dyDescent="0.25">
      <c r="B9" s="7" t="s">
        <v>61</v>
      </c>
      <c r="C9" s="7"/>
      <c r="D9" s="7"/>
      <c r="E9" s="7"/>
      <c r="F9" s="7"/>
      <c r="G9" s="7"/>
      <c r="H9" s="7"/>
    </row>
    <row r="10" spans="1:10" ht="18" customHeight="1" x14ac:dyDescent="0.25">
      <c r="B10" s="7" t="s">
        <v>62</v>
      </c>
      <c r="C10" s="7"/>
      <c r="D10" s="7"/>
      <c r="E10" s="7"/>
      <c r="F10" s="7"/>
      <c r="G10" s="7"/>
      <c r="H10" s="7"/>
    </row>
    <row r="11" spans="1:10" ht="29.25" customHeight="1" x14ac:dyDescent="0.25">
      <c r="B11" s="7" t="s">
        <v>63</v>
      </c>
      <c r="C11" s="7"/>
      <c r="D11" s="7"/>
      <c r="E11" s="7"/>
      <c r="F11" s="7"/>
      <c r="G11" s="7"/>
      <c r="H11" s="7"/>
    </row>
    <row r="12" spans="1:10" ht="366" customHeight="1" x14ac:dyDescent="0.25">
      <c r="B12" s="13"/>
      <c r="C12" s="13"/>
      <c r="D12" s="13"/>
      <c r="E12" s="13"/>
      <c r="F12" s="13"/>
      <c r="G12" s="13"/>
      <c r="H12" s="13"/>
    </row>
    <row r="13" spans="1:10" hidden="1" x14ac:dyDescent="0.25"/>
    <row r="14" spans="1:10" ht="24" customHeight="1" x14ac:dyDescent="0.25">
      <c r="A14" s="6" t="s">
        <v>31</v>
      </c>
      <c r="B14" s="6"/>
      <c r="C14" s="6"/>
      <c r="D14" s="6"/>
      <c r="E14" s="6"/>
      <c r="F14" s="6"/>
      <c r="G14" s="6"/>
      <c r="H14" s="6"/>
    </row>
    <row r="15" spans="1:10" ht="18" customHeight="1" x14ac:dyDescent="0.25">
      <c r="B15" s="2" t="s">
        <v>32</v>
      </c>
      <c r="C15" s="2"/>
      <c r="D15" s="2"/>
      <c r="E15" s="2"/>
      <c r="F15" s="15" t="s">
        <v>33</v>
      </c>
      <c r="G15" s="15" t="s">
        <v>34</v>
      </c>
      <c r="J15" s="16" t="s">
        <v>35</v>
      </c>
    </row>
    <row r="16" spans="1:10" ht="30" customHeight="1" x14ac:dyDescent="0.25">
      <c r="B16" s="3" t="s">
        <v>64</v>
      </c>
      <c r="C16" s="3"/>
      <c r="D16" s="3"/>
      <c r="E16" s="3"/>
      <c r="F16" s="23"/>
      <c r="G16" s="17" t="str">
        <f>IF(F16="","",IF(ISNUMBER(SEARCH("DB-2024-001",F16)),"✓  Correct","✗  Try again"))</f>
        <v/>
      </c>
      <c r="J16" s="18" t="s">
        <v>65</v>
      </c>
    </row>
    <row r="17" spans="1:10" ht="30" customHeight="1" x14ac:dyDescent="0.25">
      <c r="B17" s="3" t="s">
        <v>66</v>
      </c>
      <c r="C17" s="3"/>
      <c r="D17" s="3"/>
      <c r="E17" s="3"/>
      <c r="F17" s="23"/>
      <c r="G17" s="17" t="str">
        <f>IF(F17="","",IFERROR(IFERROR(IF(ABS(F17-5)&lt;0.01,"✓  Correct","✗  Try again"),"✗  Try again"),"✗  Try again"))</f>
        <v/>
      </c>
      <c r="J17" s="18" t="s">
        <v>67</v>
      </c>
    </row>
    <row r="18" spans="1:10" ht="15.75" customHeight="1" x14ac:dyDescent="0.25"/>
    <row r="19" spans="1:10" ht="33.75" customHeight="1" x14ac:dyDescent="0.25">
      <c r="A19" s="1" t="s">
        <v>68</v>
      </c>
      <c r="B19" s="1"/>
      <c r="C19" s="1"/>
      <c r="D19" s="1"/>
      <c r="E19" s="1"/>
      <c r="F19" s="1"/>
      <c r="G19" s="1"/>
      <c r="H19" s="1"/>
    </row>
    <row r="20" spans="1:10" ht="15.75" customHeight="1" x14ac:dyDescent="0.25"/>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sheetProtection sheet="1" objects="1" scenarios="1" selectLockedCells="1"/>
  <mergeCells count="14">
    <mergeCell ref="A14:H14"/>
    <mergeCell ref="B15:E15"/>
    <mergeCell ref="B16:E16"/>
    <mergeCell ref="B17:E17"/>
    <mergeCell ref="A19:H19"/>
    <mergeCell ref="B8:H8"/>
    <mergeCell ref="B9:H9"/>
    <mergeCell ref="B10:H10"/>
    <mergeCell ref="B11:H11"/>
    <mergeCell ref="A1:H1"/>
    <mergeCell ref="A2:H2"/>
    <mergeCell ref="A4:H4"/>
    <mergeCell ref="A6:H6"/>
    <mergeCell ref="B7:H7"/>
  </mergeCells>
  <conditionalFormatting sqref="G16:G17">
    <cfRule type="expression" dxfId="13" priority="2">
      <formula>ISNUMBER(SEARCH("Correct",G16))</formula>
    </cfRule>
    <cfRule type="expression" dxfId="12" priority="3">
      <formula>ISNUMBER(SEARCH("Try",G16))</formula>
    </cfRule>
  </conditionalFormatting>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J998"/>
  <sheetViews>
    <sheetView showGridLines="0" topLeftCell="A5" zoomScaleNormal="100" workbookViewId="0">
      <selection activeCell="F19" sqref="F19"/>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8" ht="30" customHeight="1" x14ac:dyDescent="0.25">
      <c r="A1" s="9" t="s">
        <v>69</v>
      </c>
      <c r="B1" s="9"/>
      <c r="C1" s="9"/>
      <c r="D1" s="9"/>
      <c r="E1" s="9"/>
      <c r="F1" s="9"/>
      <c r="G1" s="9"/>
      <c r="H1" s="9"/>
    </row>
    <row r="2" spans="1:8" ht="21.75" customHeight="1" x14ac:dyDescent="0.25">
      <c r="A2" s="8" t="s">
        <v>70</v>
      </c>
      <c r="B2" s="8"/>
      <c r="C2" s="8"/>
      <c r="D2" s="8"/>
      <c r="E2" s="8"/>
      <c r="F2" s="8"/>
      <c r="G2" s="8"/>
      <c r="H2" s="8"/>
    </row>
    <row r="4" spans="1:8" ht="45.75" customHeight="1" x14ac:dyDescent="0.25">
      <c r="A4" s="7" t="s">
        <v>71</v>
      </c>
      <c r="B4" s="7"/>
      <c r="C4" s="7"/>
      <c r="D4" s="7"/>
      <c r="E4" s="7"/>
      <c r="F4" s="7"/>
      <c r="G4" s="7"/>
      <c r="H4" s="7"/>
    </row>
    <row r="6" spans="1:8" ht="24" customHeight="1" x14ac:dyDescent="0.25">
      <c r="A6" s="6" t="s">
        <v>24</v>
      </c>
      <c r="B6" s="6"/>
      <c r="C6" s="6"/>
      <c r="D6" s="6"/>
      <c r="E6" s="6"/>
      <c r="F6" s="6"/>
      <c r="G6" s="6"/>
      <c r="H6" s="6"/>
    </row>
    <row r="7" spans="1:8" ht="18" customHeight="1" x14ac:dyDescent="0.25">
      <c r="B7" s="7" t="s">
        <v>72</v>
      </c>
      <c r="C7" s="7"/>
      <c r="D7" s="7"/>
      <c r="E7" s="7"/>
      <c r="F7" s="7"/>
      <c r="G7" s="7"/>
      <c r="H7" s="7"/>
    </row>
    <row r="8" spans="1:8" ht="18" customHeight="1" x14ac:dyDescent="0.25">
      <c r="B8" s="7" t="s">
        <v>73</v>
      </c>
      <c r="C8" s="7"/>
      <c r="D8" s="7"/>
      <c r="E8" s="7"/>
      <c r="F8" s="7"/>
      <c r="G8" s="7"/>
      <c r="H8" s="7"/>
    </row>
    <row r="9" spans="1:8" ht="18" customHeight="1" x14ac:dyDescent="0.25">
      <c r="B9" s="7" t="s">
        <v>74</v>
      </c>
      <c r="C9" s="7"/>
      <c r="D9" s="7"/>
      <c r="E9" s="7"/>
      <c r="F9" s="7"/>
      <c r="G9" s="7"/>
      <c r="H9" s="7"/>
    </row>
    <row r="10" spans="1:8" ht="18" customHeight="1" x14ac:dyDescent="0.25">
      <c r="B10" s="7" t="s">
        <v>75</v>
      </c>
      <c r="C10" s="7"/>
      <c r="D10" s="7"/>
      <c r="E10" s="7"/>
      <c r="F10" s="7"/>
      <c r="G10" s="7"/>
      <c r="H10" s="7"/>
    </row>
    <row r="11" spans="1:8" ht="18" customHeight="1" x14ac:dyDescent="0.25">
      <c r="B11" s="7" t="s">
        <v>76</v>
      </c>
      <c r="C11" s="7"/>
      <c r="D11" s="7"/>
      <c r="E11" s="7"/>
      <c r="F11" s="7"/>
      <c r="G11" s="7"/>
      <c r="H11" s="7"/>
    </row>
    <row r="12" spans="1:8" ht="18" customHeight="1" x14ac:dyDescent="0.25">
      <c r="B12" s="7" t="s">
        <v>77</v>
      </c>
      <c r="C12" s="7"/>
      <c r="D12" s="7"/>
      <c r="E12" s="7"/>
      <c r="F12" s="7"/>
      <c r="G12" s="7"/>
      <c r="H12" s="7"/>
    </row>
    <row r="13" spans="1:8" ht="18" customHeight="1" x14ac:dyDescent="0.25">
      <c r="B13" s="7" t="s">
        <v>78</v>
      </c>
      <c r="C13" s="7"/>
      <c r="D13" s="7"/>
      <c r="E13" s="7"/>
      <c r="F13" s="7"/>
      <c r="G13" s="7"/>
      <c r="H13" s="7"/>
    </row>
    <row r="15" spans="1:8" ht="269.25" customHeight="1" x14ac:dyDescent="0.25"/>
    <row r="16" spans="1:8" ht="87" customHeight="1" x14ac:dyDescent="0.25"/>
    <row r="17" spans="1:10" ht="24" customHeight="1" x14ac:dyDescent="0.25">
      <c r="A17" s="6" t="s">
        <v>31</v>
      </c>
      <c r="B17" s="6"/>
      <c r="C17" s="6"/>
      <c r="D17" s="6"/>
      <c r="E17" s="6"/>
      <c r="F17" s="6"/>
      <c r="G17" s="6"/>
      <c r="H17" s="6"/>
    </row>
    <row r="18" spans="1:10" ht="18" customHeight="1" x14ac:dyDescent="0.25">
      <c r="B18" s="2" t="s">
        <v>32</v>
      </c>
      <c r="C18" s="2"/>
      <c r="D18" s="2"/>
      <c r="E18" s="2"/>
      <c r="F18" s="15" t="s">
        <v>33</v>
      </c>
      <c r="G18" s="15" t="s">
        <v>34</v>
      </c>
      <c r="J18" s="16" t="s">
        <v>35</v>
      </c>
    </row>
    <row r="19" spans="1:10" ht="30" customHeight="1" x14ac:dyDescent="0.25">
      <c r="B19" s="3" t="s">
        <v>79</v>
      </c>
      <c r="C19" s="3"/>
      <c r="D19" s="3"/>
      <c r="E19" s="3"/>
      <c r="F19" s="23"/>
      <c r="G19" s="17" t="str">
        <f>IF(F19="","",IF(ISNUMBER(SEARCH("Priya Sharma",F19)),"✓  Correct","✗  Try again"))</f>
        <v/>
      </c>
      <c r="J19" s="18" t="s">
        <v>80</v>
      </c>
    </row>
    <row r="20" spans="1:10" ht="15.75" customHeight="1" x14ac:dyDescent="0.25"/>
    <row r="21" spans="1:10" ht="33.75" customHeight="1" x14ac:dyDescent="0.25">
      <c r="A21" s="1" t="s">
        <v>81</v>
      </c>
      <c r="B21" s="1"/>
      <c r="C21" s="1"/>
      <c r="D21" s="1"/>
      <c r="E21" s="1"/>
      <c r="F21" s="1"/>
      <c r="G21" s="1"/>
      <c r="H21" s="1"/>
    </row>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sheetProtection sheet="1" objects="1" scenarios="1" selectLockedCells="1"/>
  <mergeCells count="15">
    <mergeCell ref="A21:H21"/>
    <mergeCell ref="B13:H13"/>
    <mergeCell ref="A17:H17"/>
    <mergeCell ref="B18:E18"/>
    <mergeCell ref="B19:E19"/>
    <mergeCell ref="B8:H8"/>
    <mergeCell ref="B9:H9"/>
    <mergeCell ref="B10:H10"/>
    <mergeCell ref="B11:H11"/>
    <mergeCell ref="B12:H12"/>
    <mergeCell ref="A1:H1"/>
    <mergeCell ref="A2:H2"/>
    <mergeCell ref="A4:H4"/>
    <mergeCell ref="A6:H6"/>
    <mergeCell ref="B7:H7"/>
  </mergeCells>
  <conditionalFormatting sqref="G19">
    <cfRule type="expression" dxfId="11" priority="2">
      <formula>ISNUMBER(SEARCH("Correct",G19))</formula>
    </cfRule>
    <cfRule type="expression" dxfId="10" priority="3">
      <formula>ISNUMBER(SEARCH("Try",G19))</formula>
    </cfRule>
  </conditionalFormatting>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J998"/>
  <sheetViews>
    <sheetView showGridLines="0" zoomScaleNormal="100" workbookViewId="0">
      <selection activeCell="F18" sqref="F18"/>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8" ht="30" customHeight="1" x14ac:dyDescent="0.25">
      <c r="A1" s="9" t="s">
        <v>82</v>
      </c>
      <c r="B1" s="9"/>
      <c r="C1" s="9"/>
      <c r="D1" s="9"/>
      <c r="E1" s="9"/>
      <c r="F1" s="9"/>
      <c r="G1" s="9"/>
      <c r="H1" s="9"/>
    </row>
    <row r="2" spans="1:8" ht="21.75" customHeight="1" x14ac:dyDescent="0.25">
      <c r="A2" s="8" t="s">
        <v>83</v>
      </c>
      <c r="B2" s="8"/>
      <c r="C2" s="8"/>
      <c r="D2" s="8"/>
      <c r="E2" s="8"/>
      <c r="F2" s="8"/>
      <c r="G2" s="8"/>
      <c r="H2" s="8"/>
    </row>
    <row r="4" spans="1:8" ht="45.75" customHeight="1" x14ac:dyDescent="0.25">
      <c r="A4" s="7" t="s">
        <v>84</v>
      </c>
      <c r="B4" s="7"/>
      <c r="C4" s="7"/>
      <c r="D4" s="7"/>
      <c r="E4" s="7"/>
      <c r="F4" s="7"/>
      <c r="G4" s="7"/>
      <c r="H4" s="7"/>
    </row>
    <row r="6" spans="1:8" ht="24" customHeight="1" x14ac:dyDescent="0.25">
      <c r="A6" s="6" t="s">
        <v>24</v>
      </c>
      <c r="B6" s="6"/>
      <c r="C6" s="6"/>
      <c r="D6" s="6"/>
      <c r="E6" s="6"/>
      <c r="F6" s="6"/>
      <c r="G6" s="6"/>
      <c r="H6" s="6"/>
    </row>
    <row r="7" spans="1:8" ht="18" customHeight="1" x14ac:dyDescent="0.25">
      <c r="B7" s="7" t="s">
        <v>85</v>
      </c>
      <c r="C7" s="7"/>
      <c r="D7" s="7"/>
      <c r="E7" s="7"/>
      <c r="F7" s="7"/>
      <c r="G7" s="7"/>
      <c r="H7" s="7"/>
    </row>
    <row r="8" spans="1:8" ht="18" customHeight="1" x14ac:dyDescent="0.25">
      <c r="B8" s="7" t="s">
        <v>86</v>
      </c>
      <c r="C8" s="7"/>
      <c r="D8" s="7"/>
      <c r="E8" s="7"/>
      <c r="F8" s="7"/>
      <c r="G8" s="7"/>
      <c r="H8" s="7"/>
    </row>
    <row r="9" spans="1:8" ht="31.5" customHeight="1" x14ac:dyDescent="0.25">
      <c r="B9" s="7" t="s">
        <v>87</v>
      </c>
      <c r="C9" s="7"/>
      <c r="D9" s="7"/>
      <c r="E9" s="7"/>
      <c r="F9" s="7"/>
      <c r="G9" s="7"/>
      <c r="H9" s="7"/>
    </row>
    <row r="10" spans="1:8" ht="31.5" customHeight="1" x14ac:dyDescent="0.25">
      <c r="B10" s="7" t="s">
        <v>88</v>
      </c>
      <c r="C10" s="7"/>
      <c r="D10" s="7"/>
      <c r="E10" s="7"/>
      <c r="F10" s="7"/>
      <c r="G10" s="7"/>
      <c r="H10" s="7"/>
    </row>
    <row r="11" spans="1:8" ht="18" customHeight="1" x14ac:dyDescent="0.25">
      <c r="B11" s="7" t="s">
        <v>89</v>
      </c>
      <c r="C11" s="7"/>
      <c r="D11" s="7"/>
      <c r="E11" s="7"/>
      <c r="F11" s="7"/>
      <c r="G11" s="7"/>
      <c r="H11" s="7"/>
    </row>
    <row r="12" spans="1:8" ht="18" customHeight="1" x14ac:dyDescent="0.25">
      <c r="B12" s="7" t="s">
        <v>90</v>
      </c>
      <c r="C12" s="7"/>
      <c r="D12" s="7"/>
      <c r="E12" s="7"/>
      <c r="F12" s="7"/>
      <c r="G12" s="7"/>
      <c r="H12" s="7"/>
    </row>
    <row r="14" spans="1:8" ht="309" customHeight="1" x14ac:dyDescent="0.25"/>
    <row r="15" spans="1:8" ht="156.75" customHeight="1" x14ac:dyDescent="0.25"/>
    <row r="16" spans="1:8" ht="24" customHeight="1" x14ac:dyDescent="0.25">
      <c r="A16" s="6" t="s">
        <v>31</v>
      </c>
      <c r="B16" s="6"/>
      <c r="C16" s="6"/>
      <c r="D16" s="6"/>
      <c r="E16" s="6"/>
      <c r="F16" s="6"/>
      <c r="G16" s="6"/>
      <c r="H16" s="6"/>
    </row>
    <row r="17" spans="1:10" ht="18" customHeight="1" x14ac:dyDescent="0.25">
      <c r="B17" s="2" t="s">
        <v>32</v>
      </c>
      <c r="C17" s="2"/>
      <c r="D17" s="2"/>
      <c r="E17" s="2"/>
      <c r="F17" s="15" t="s">
        <v>33</v>
      </c>
      <c r="G17" s="15" t="s">
        <v>34</v>
      </c>
      <c r="J17" s="16" t="s">
        <v>35</v>
      </c>
    </row>
    <row r="18" spans="1:10" ht="30" customHeight="1" x14ac:dyDescent="0.25">
      <c r="B18" s="3" t="s">
        <v>91</v>
      </c>
      <c r="C18" s="3"/>
      <c r="D18" s="3"/>
      <c r="E18" s="3"/>
      <c r="F18" s="23"/>
      <c r="G18" s="17" t="str">
        <f>IF(F18="","",IF(ISNUMBER(SEARCH("priya.sharma",F18)),"✓  Correct","✗  Try again"))</f>
        <v/>
      </c>
      <c r="J18" s="18" t="s">
        <v>92</v>
      </c>
    </row>
    <row r="19" spans="1:10" ht="15.75" customHeight="1" x14ac:dyDescent="0.25"/>
    <row r="20" spans="1:10" ht="33.75" customHeight="1" x14ac:dyDescent="0.25">
      <c r="A20" s="1" t="s">
        <v>93</v>
      </c>
      <c r="B20" s="1"/>
      <c r="C20" s="1"/>
      <c r="D20" s="1"/>
      <c r="E20" s="1"/>
      <c r="F20" s="1"/>
      <c r="G20" s="1"/>
      <c r="H20" s="1"/>
    </row>
    <row r="21" spans="1:10" ht="15.75" customHeight="1" x14ac:dyDescent="0.25"/>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sheetProtection sheet="1" objects="1" scenarios="1" selectLockedCells="1"/>
  <mergeCells count="14">
    <mergeCell ref="A16:H16"/>
    <mergeCell ref="B17:E17"/>
    <mergeCell ref="B18:E18"/>
    <mergeCell ref="A20:H20"/>
    <mergeCell ref="B8:H8"/>
    <mergeCell ref="B9:H9"/>
    <mergeCell ref="B10:H10"/>
    <mergeCell ref="B11:H11"/>
    <mergeCell ref="B12:H12"/>
    <mergeCell ref="A1:H1"/>
    <mergeCell ref="A2:H2"/>
    <mergeCell ref="A4:H4"/>
    <mergeCell ref="A6:H6"/>
    <mergeCell ref="B7:H7"/>
  </mergeCells>
  <conditionalFormatting sqref="G18">
    <cfRule type="expression" dxfId="9" priority="2">
      <formula>ISNUMBER(SEARCH("Correct",G18))</formula>
    </cfRule>
    <cfRule type="expression" dxfId="8" priority="3">
      <formula>ISNUMBER(SEARCH("Try",G18))</formula>
    </cfRule>
  </conditionalFormatting>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J999"/>
  <sheetViews>
    <sheetView showGridLines="0" topLeftCell="A3" zoomScaleNormal="100" workbookViewId="0">
      <selection activeCell="F18" sqref="F18"/>
    </sheetView>
  </sheetViews>
  <sheetFormatPr defaultColWidth="14.42578125" defaultRowHeight="15" x14ac:dyDescent="0.25"/>
  <cols>
    <col min="1" max="1" width="3" customWidth="1"/>
    <col min="2" max="2" width="24" customWidth="1"/>
    <col min="3" max="5" width="14" customWidth="1"/>
    <col min="6" max="6" width="16" customWidth="1"/>
    <col min="7" max="8" width="14" customWidth="1"/>
    <col min="9" max="9" width="1.5703125" customWidth="1"/>
    <col min="10" max="10" width="52" customWidth="1"/>
  </cols>
  <sheetData>
    <row r="1" spans="1:8" ht="30" customHeight="1" x14ac:dyDescent="0.25">
      <c r="A1" s="9" t="s">
        <v>94</v>
      </c>
      <c r="B1" s="9"/>
      <c r="C1" s="9"/>
      <c r="D1" s="9"/>
      <c r="E1" s="9"/>
      <c r="F1" s="9"/>
      <c r="G1" s="9"/>
      <c r="H1" s="9"/>
    </row>
    <row r="2" spans="1:8" ht="21.75" customHeight="1" x14ac:dyDescent="0.25">
      <c r="A2" s="8" t="s">
        <v>95</v>
      </c>
      <c r="B2" s="8"/>
      <c r="C2" s="8"/>
      <c r="D2" s="8"/>
      <c r="E2" s="8"/>
      <c r="F2" s="8"/>
      <c r="G2" s="8"/>
      <c r="H2" s="8"/>
    </row>
    <row r="4" spans="1:8" ht="45.75" customHeight="1" x14ac:dyDescent="0.25">
      <c r="A4" s="7" t="s">
        <v>96</v>
      </c>
      <c r="B4" s="7"/>
      <c r="C4" s="7"/>
      <c r="D4" s="7"/>
      <c r="E4" s="7"/>
      <c r="F4" s="7"/>
      <c r="G4" s="7"/>
      <c r="H4" s="7"/>
    </row>
    <row r="6" spans="1:8" ht="24" customHeight="1" x14ac:dyDescent="0.25">
      <c r="A6" s="6" t="s">
        <v>97</v>
      </c>
      <c r="B6" s="6"/>
      <c r="C6" s="6"/>
      <c r="D6" s="6"/>
      <c r="E6" s="6"/>
      <c r="F6" s="6"/>
      <c r="G6" s="6"/>
      <c r="H6" s="6"/>
    </row>
    <row r="7" spans="1:8" ht="18" customHeight="1" x14ac:dyDescent="0.25">
      <c r="B7" s="7" t="s">
        <v>98</v>
      </c>
      <c r="C7" s="7"/>
      <c r="D7" s="7"/>
      <c r="E7" s="7"/>
      <c r="F7" s="7"/>
      <c r="G7" s="7"/>
      <c r="H7" s="7"/>
    </row>
    <row r="8" spans="1:8" ht="18" customHeight="1" x14ac:dyDescent="0.25">
      <c r="B8" s="7" t="s">
        <v>99</v>
      </c>
      <c r="C8" s="7"/>
      <c r="D8" s="7"/>
      <c r="E8" s="7"/>
      <c r="F8" s="7"/>
      <c r="G8" s="7"/>
      <c r="H8" s="7"/>
    </row>
    <row r="9" spans="1:8" ht="18" customHeight="1" x14ac:dyDescent="0.25">
      <c r="B9" s="7" t="s">
        <v>100</v>
      </c>
      <c r="C9" s="7"/>
      <c r="D9" s="7"/>
      <c r="E9" s="7"/>
      <c r="F9" s="7"/>
      <c r="G9" s="7"/>
      <c r="H9" s="7"/>
    </row>
    <row r="10" spans="1:8" ht="18" customHeight="1" x14ac:dyDescent="0.25">
      <c r="B10" s="7" t="s">
        <v>101</v>
      </c>
      <c r="C10" s="7"/>
      <c r="D10" s="7"/>
      <c r="E10" s="7"/>
      <c r="F10" s="7"/>
      <c r="G10" s="7"/>
      <c r="H10" s="7"/>
    </row>
    <row r="11" spans="1:8" ht="18" customHeight="1" x14ac:dyDescent="0.25">
      <c r="B11" s="7" t="s">
        <v>102</v>
      </c>
      <c r="C11" s="7"/>
      <c r="D11" s="7"/>
      <c r="E11" s="7"/>
      <c r="F11" s="7"/>
      <c r="G11" s="7"/>
      <c r="H11" s="7"/>
    </row>
    <row r="12" spans="1:8" ht="18" customHeight="1" x14ac:dyDescent="0.25">
      <c r="B12" s="13"/>
      <c r="C12" s="13"/>
      <c r="D12" s="13"/>
      <c r="E12" s="13"/>
      <c r="F12" s="13"/>
      <c r="G12" s="13"/>
      <c r="H12" s="13"/>
    </row>
    <row r="13" spans="1:8" ht="312" customHeight="1" x14ac:dyDescent="0.25">
      <c r="B13" s="13"/>
      <c r="C13" s="13"/>
      <c r="D13" s="13"/>
      <c r="E13" s="13"/>
      <c r="F13" s="13"/>
      <c r="G13" s="13"/>
      <c r="H13" s="13"/>
    </row>
    <row r="15" spans="1:8" ht="24" customHeight="1" x14ac:dyDescent="0.25">
      <c r="A15" s="6" t="s">
        <v>103</v>
      </c>
      <c r="B15" s="6"/>
      <c r="C15" s="6"/>
      <c r="D15" s="6"/>
      <c r="E15" s="6"/>
      <c r="F15" s="6"/>
      <c r="G15" s="6"/>
      <c r="H15" s="6"/>
    </row>
    <row r="16" spans="1:8" ht="27.75" customHeight="1" x14ac:dyDescent="0.25">
      <c r="A16" s="7" t="s">
        <v>104</v>
      </c>
      <c r="B16" s="7"/>
      <c r="C16" s="7"/>
      <c r="D16" s="7"/>
      <c r="E16" s="7"/>
      <c r="F16" s="7"/>
      <c r="G16" s="7"/>
      <c r="H16" s="7"/>
    </row>
    <row r="17" spans="1:10" ht="18" customHeight="1" x14ac:dyDescent="0.25">
      <c r="B17" s="2" t="s">
        <v>32</v>
      </c>
      <c r="C17" s="2"/>
      <c r="D17" s="2"/>
      <c r="E17" s="2"/>
      <c r="F17" s="15" t="s">
        <v>33</v>
      </c>
      <c r="G17" s="15" t="s">
        <v>34</v>
      </c>
      <c r="J17" s="16" t="s">
        <v>35</v>
      </c>
    </row>
    <row r="18" spans="1:10" ht="30" customHeight="1" x14ac:dyDescent="0.25">
      <c r="B18" s="3" t="s">
        <v>105</v>
      </c>
      <c r="C18" s="3"/>
      <c r="D18" s="3"/>
      <c r="E18" s="3"/>
      <c r="F18" s="23"/>
      <c r="G18" s="17" t="str">
        <f>IF(F18="","",IFERROR(IFERROR(IF(ABS(F18-8)&lt;0.01,"✓  Correct","✗  Try again"),"✗  Try again"),"✗  Try again"))</f>
        <v/>
      </c>
      <c r="J18" s="18" t="s">
        <v>106</v>
      </c>
    </row>
    <row r="19" spans="1:10" ht="30" customHeight="1" x14ac:dyDescent="0.25">
      <c r="B19" s="3" t="s">
        <v>107</v>
      </c>
      <c r="C19" s="3"/>
      <c r="D19" s="3"/>
      <c r="E19" s="3"/>
      <c r="F19" s="23"/>
      <c r="G19" s="17" t="str">
        <f>IF(F19="","",IFERROR(IFERROR(IF(ABS(F19-0)&lt;0.01,"✓  Correct","✗  Try again"),"✗  Try again"),"✗  Try again"))</f>
        <v/>
      </c>
      <c r="J19" s="18" t="s">
        <v>108</v>
      </c>
    </row>
    <row r="20" spans="1:10" ht="30" customHeight="1" x14ac:dyDescent="0.25">
      <c r="B20" s="3" t="s">
        <v>109</v>
      </c>
      <c r="C20" s="3"/>
      <c r="D20" s="3"/>
      <c r="E20" s="3"/>
      <c r="F20" s="23"/>
      <c r="G20" s="17" t="str">
        <f>IF(F20="","",IFERROR(IFERROR(IF(ABS(F20-11)&lt;0.01,"✓  Correct","✗  Try again"),"✗  Try again"),"✗  Try again"))</f>
        <v/>
      </c>
      <c r="J20" s="18" t="s">
        <v>110</v>
      </c>
    </row>
    <row r="21" spans="1:10" ht="15.75" customHeight="1" x14ac:dyDescent="0.25"/>
    <row r="22" spans="1:10" ht="24" customHeight="1" x14ac:dyDescent="0.25">
      <c r="A22" s="6" t="s">
        <v>111</v>
      </c>
      <c r="B22" s="6"/>
      <c r="C22" s="6"/>
      <c r="D22" s="6"/>
      <c r="E22" s="6"/>
      <c r="F22" s="6"/>
      <c r="G22" s="6"/>
      <c r="H22" s="6"/>
    </row>
    <row r="23" spans="1:10" ht="44.25" customHeight="1" x14ac:dyDescent="0.25">
      <c r="A23" s="7" t="s">
        <v>112</v>
      </c>
      <c r="B23" s="7"/>
      <c r="C23" s="7"/>
      <c r="D23" s="7"/>
      <c r="E23" s="7"/>
      <c r="F23" s="7"/>
      <c r="G23" s="7"/>
      <c r="H23" s="7"/>
    </row>
    <row r="24" spans="1:10" ht="18" customHeight="1" x14ac:dyDescent="0.25">
      <c r="B24" s="2" t="s">
        <v>32</v>
      </c>
      <c r="C24" s="2"/>
      <c r="D24" s="2"/>
      <c r="E24" s="2"/>
      <c r="F24" s="15" t="s">
        <v>33</v>
      </c>
      <c r="G24" s="15" t="s">
        <v>34</v>
      </c>
    </row>
    <row r="25" spans="1:10" ht="30" customHeight="1" x14ac:dyDescent="0.25">
      <c r="B25" s="3" t="s">
        <v>113</v>
      </c>
      <c r="C25" s="3"/>
      <c r="D25" s="3"/>
      <c r="E25" s="3"/>
      <c r="F25" s="23"/>
      <c r="G25" s="17" t="str">
        <f>IF(F25="","",IFERROR(IFERROR(IF(ABS(F25-3)&lt;0.01,"✓  Correct","✗  Try again"),"✗  Try again"),"✗  Try again"))</f>
        <v/>
      </c>
    </row>
    <row r="26" spans="1:10" ht="30" customHeight="1" x14ac:dyDescent="0.25">
      <c r="B26" s="3" t="s">
        <v>114</v>
      </c>
      <c r="C26" s="3"/>
      <c r="D26" s="3"/>
      <c r="E26" s="3"/>
      <c r="F26" s="23"/>
      <c r="G26" s="17" t="str">
        <f>IF(F26="","",IFERROR(IFERROR(IF(ABS(F26-11)&lt;0.01,"✓  Correct","✗  Try again"),"✗  Try again"),"✗  Try again"))</f>
        <v/>
      </c>
    </row>
    <row r="27" spans="1:10" ht="15.75" customHeight="1" x14ac:dyDescent="0.25"/>
    <row r="28" spans="1:10" ht="24" customHeight="1" x14ac:dyDescent="0.25">
      <c r="A28" s="6" t="s">
        <v>115</v>
      </c>
      <c r="B28" s="6"/>
      <c r="C28" s="6"/>
      <c r="D28" s="6"/>
      <c r="E28" s="6"/>
      <c r="F28" s="6"/>
      <c r="G28" s="6"/>
      <c r="H28" s="6"/>
    </row>
    <row r="29" spans="1:10" ht="47.25" customHeight="1" x14ac:dyDescent="0.25">
      <c r="A29" s="7" t="s">
        <v>116</v>
      </c>
      <c r="B29" s="7"/>
      <c r="C29" s="7"/>
      <c r="D29" s="7"/>
      <c r="E29" s="7"/>
      <c r="F29" s="7"/>
      <c r="G29" s="7"/>
      <c r="H29" s="7"/>
    </row>
    <row r="30" spans="1:10" ht="18" customHeight="1" x14ac:dyDescent="0.25">
      <c r="B30" s="2" t="s">
        <v>32</v>
      </c>
      <c r="C30" s="2"/>
      <c r="D30" s="2"/>
      <c r="E30" s="2"/>
      <c r="F30" s="15" t="s">
        <v>33</v>
      </c>
      <c r="G30" s="15" t="s">
        <v>34</v>
      </c>
    </row>
    <row r="31" spans="1:10" ht="30" customHeight="1" x14ac:dyDescent="0.25">
      <c r="B31" s="3" t="s">
        <v>117</v>
      </c>
      <c r="C31" s="3"/>
      <c r="D31" s="3"/>
      <c r="E31" s="3"/>
      <c r="F31" s="23"/>
      <c r="G31" s="17" t="str">
        <f>IF(F31="","",IFERROR(IFERROR(IF(ABS(F31-1)&lt;0.01,"✓  Correct","✗  Try again"),"✗  Try again"),"✗  Try again"))</f>
        <v/>
      </c>
    </row>
    <row r="32" spans="1:10" ht="30" customHeight="1" x14ac:dyDescent="0.25">
      <c r="B32" s="3" t="s">
        <v>118</v>
      </c>
      <c r="C32" s="3"/>
      <c r="D32" s="3"/>
      <c r="E32" s="3"/>
      <c r="F32" s="23"/>
      <c r="G32" s="17" t="str">
        <f>IF(F32="","",IFERROR(IFERROR(IF(ABS(F32-4)&lt;0.01,"✓  Correct","✗  Try again"),"✗  Try again"),"✗  Try again"))</f>
        <v/>
      </c>
    </row>
    <row r="33" spans="2:7" ht="30" customHeight="1" x14ac:dyDescent="0.25">
      <c r="B33" s="3" t="s">
        <v>119</v>
      </c>
      <c r="C33" s="3"/>
      <c r="D33" s="3"/>
      <c r="E33" s="3"/>
      <c r="F33" s="23"/>
      <c r="G33" s="17" t="str">
        <f>IF(F33="","",IFERROR(IFERROR(IF(ABS(F33-8)&lt;0.01,"✓  Correct","✗  Try again"),"✗  Try again"),"✗  Try again"))</f>
        <v/>
      </c>
    </row>
    <row r="34" spans="2:7" ht="15.75" customHeight="1" x14ac:dyDescent="0.25"/>
    <row r="35" spans="2:7" ht="15.75" customHeight="1" x14ac:dyDescent="0.25"/>
    <row r="36" spans="2:7" ht="15.75" customHeight="1" x14ac:dyDescent="0.25"/>
    <row r="37" spans="2:7" ht="15.75" customHeight="1" x14ac:dyDescent="0.25"/>
    <row r="38" spans="2:7" ht="15.75" customHeight="1" x14ac:dyDescent="0.25"/>
    <row r="39" spans="2:7" ht="15.75" customHeight="1" x14ac:dyDescent="0.25"/>
    <row r="40" spans="2:7" ht="15.75" customHeight="1" x14ac:dyDescent="0.25"/>
    <row r="41" spans="2:7" ht="15.75" customHeight="1" x14ac:dyDescent="0.25"/>
    <row r="42" spans="2:7" ht="15.75" customHeight="1" x14ac:dyDescent="0.25"/>
    <row r="43" spans="2:7" ht="15.75" customHeight="1" x14ac:dyDescent="0.25"/>
    <row r="44" spans="2:7" ht="15.75" customHeight="1" x14ac:dyDescent="0.25"/>
    <row r="45" spans="2:7" ht="15.75" customHeight="1" x14ac:dyDescent="0.25"/>
    <row r="46" spans="2:7" ht="15.75" customHeight="1" x14ac:dyDescent="0.25"/>
    <row r="47" spans="2:7" ht="15.75" customHeight="1" x14ac:dyDescent="0.25"/>
    <row r="48" spans="2:7"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sheetData>
  <sheetProtection sheet="1" objects="1" scenarios="1" selectLockedCells="1"/>
  <mergeCells count="26">
    <mergeCell ref="B32:E32"/>
    <mergeCell ref="B33:E33"/>
    <mergeCell ref="B26:E26"/>
    <mergeCell ref="A28:H28"/>
    <mergeCell ref="A29:H29"/>
    <mergeCell ref="B30:E30"/>
    <mergeCell ref="B31:E31"/>
    <mergeCell ref="B20:E20"/>
    <mergeCell ref="A22:H22"/>
    <mergeCell ref="A23:H23"/>
    <mergeCell ref="B24:E24"/>
    <mergeCell ref="B25:E25"/>
    <mergeCell ref="A15:H15"/>
    <mergeCell ref="A16:H16"/>
    <mergeCell ref="B17:E17"/>
    <mergeCell ref="B18:E18"/>
    <mergeCell ref="B19:E19"/>
    <mergeCell ref="B8:H8"/>
    <mergeCell ref="B9:H9"/>
    <mergeCell ref="B10:H10"/>
    <mergeCell ref="B11:H11"/>
    <mergeCell ref="A1:H1"/>
    <mergeCell ref="A2:H2"/>
    <mergeCell ref="A4:H4"/>
    <mergeCell ref="A6:H6"/>
    <mergeCell ref="B7:H7"/>
  </mergeCells>
  <conditionalFormatting sqref="G18:G20">
    <cfRule type="expression" dxfId="7" priority="2">
      <formula>ISNUMBER(SEARCH("Correct",G18))</formula>
    </cfRule>
    <cfRule type="expression" dxfId="6" priority="3">
      <formula>ISNUMBER(SEARCH("Try",G18))</formula>
    </cfRule>
  </conditionalFormatting>
  <conditionalFormatting sqref="G25:G26">
    <cfRule type="expression" dxfId="5" priority="4">
      <formula>ISNUMBER(SEARCH("Correct",G25))</formula>
    </cfRule>
    <cfRule type="expression" dxfId="4" priority="5">
      <formula>ISNUMBER(SEARCH("Try",G25))</formula>
    </cfRule>
  </conditionalFormatting>
  <conditionalFormatting sqref="G31:G33">
    <cfRule type="expression" dxfId="3" priority="6">
      <formula>ISNUMBER(SEARCH("Correct",G31))</formula>
    </cfRule>
    <cfRule type="expression" dxfId="2" priority="7">
      <formula>ISNUMBER(SEARCH("Try",G31))</formula>
    </cfRule>
  </conditionalFormatting>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A1:C1000"/>
  <sheetViews>
    <sheetView showGridLines="0" zoomScaleNormal="100" workbookViewId="0">
      <selection sqref="A1:C1"/>
    </sheetView>
  </sheetViews>
  <sheetFormatPr defaultColWidth="14.42578125" defaultRowHeight="15" x14ac:dyDescent="0.25"/>
  <cols>
    <col min="1" max="1" width="3" customWidth="1"/>
    <col min="2" max="2" width="28" customWidth="1"/>
    <col min="3" max="3" width="68" customWidth="1"/>
    <col min="4" max="8" width="8.7109375" customWidth="1"/>
  </cols>
  <sheetData>
    <row r="1" spans="1:3" ht="30" customHeight="1" x14ac:dyDescent="0.25">
      <c r="A1" s="9" t="s">
        <v>120</v>
      </c>
      <c r="B1" s="9"/>
      <c r="C1" s="9"/>
    </row>
    <row r="2" spans="1:3" ht="21.75" customHeight="1" x14ac:dyDescent="0.25">
      <c r="A2" s="8" t="s">
        <v>121</v>
      </c>
      <c r="B2" s="8"/>
      <c r="C2" s="8"/>
    </row>
    <row r="4" spans="1:3" ht="39.75" customHeight="1" x14ac:dyDescent="0.25">
      <c r="B4" s="19" t="s">
        <v>122</v>
      </c>
      <c r="C4" s="20" t="s">
        <v>123</v>
      </c>
    </row>
    <row r="5" spans="1:3" ht="39.75" customHeight="1" x14ac:dyDescent="0.25">
      <c r="B5" s="19" t="s">
        <v>124</v>
      </c>
      <c r="C5" s="20" t="s">
        <v>125</v>
      </c>
    </row>
    <row r="6" spans="1:3" ht="39.75" customHeight="1" x14ac:dyDescent="0.25">
      <c r="B6" s="19" t="s">
        <v>126</v>
      </c>
      <c r="C6" s="20" t="s">
        <v>127</v>
      </c>
    </row>
    <row r="7" spans="1:3" ht="39.75" customHeight="1" x14ac:dyDescent="0.25">
      <c r="B7" s="19" t="s">
        <v>128</v>
      </c>
      <c r="C7" s="20" t="s">
        <v>129</v>
      </c>
    </row>
    <row r="8" spans="1:3" ht="39.75" customHeight="1" x14ac:dyDescent="0.25">
      <c r="B8" s="19" t="s">
        <v>130</v>
      </c>
      <c r="C8" s="20" t="s">
        <v>131</v>
      </c>
    </row>
    <row r="9" spans="1:3" ht="39.75" customHeight="1" x14ac:dyDescent="0.25">
      <c r="B9" s="19" t="s">
        <v>132</v>
      </c>
      <c r="C9" s="20" t="s">
        <v>133</v>
      </c>
    </row>
    <row r="10" spans="1:3" ht="39.75" customHeight="1" x14ac:dyDescent="0.25">
      <c r="B10" s="19" t="s">
        <v>134</v>
      </c>
      <c r="C10" s="20" t="s">
        <v>135</v>
      </c>
    </row>
    <row r="11" spans="1:3" ht="39.75" customHeight="1" x14ac:dyDescent="0.25">
      <c r="B11" s="19" t="s">
        <v>136</v>
      </c>
      <c r="C11" s="20" t="s">
        <v>137</v>
      </c>
    </row>
    <row r="12" spans="1:3" ht="39.75" customHeight="1" x14ac:dyDescent="0.25">
      <c r="B12" s="19" t="s">
        <v>138</v>
      </c>
      <c r="C12" s="20" t="s">
        <v>139</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
    <mergeCell ref="A1:C1"/>
    <mergeCell ref="A2:C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J1000"/>
  <sheetViews>
    <sheetView showGridLines="0" zoomScaleNormal="100" workbookViewId="0">
      <selection activeCell="D13" activeCellId="3" sqref="C8 D11:E11 D12:E12 D13:E13"/>
    </sheetView>
  </sheetViews>
  <sheetFormatPr defaultColWidth="14.42578125" defaultRowHeight="15" x14ac:dyDescent="0.25"/>
  <cols>
    <col min="1" max="1" width="3" customWidth="1"/>
    <col min="2" max="2" width="54" customWidth="1"/>
    <col min="3" max="4" width="16" customWidth="1"/>
    <col min="5" max="5" width="36" customWidth="1"/>
    <col min="6" max="8" width="8.7109375" customWidth="1"/>
    <col min="9" max="9" width="1.5703125" customWidth="1"/>
    <col min="10" max="10" width="52" customWidth="1"/>
  </cols>
  <sheetData>
    <row r="1" spans="1:10" ht="30" customHeight="1" x14ac:dyDescent="0.25">
      <c r="A1" s="9" t="s">
        <v>140</v>
      </c>
      <c r="B1" s="9"/>
      <c r="C1" s="9"/>
      <c r="D1" s="9"/>
      <c r="E1" s="9"/>
    </row>
    <row r="2" spans="1:10" ht="21.75" customHeight="1" x14ac:dyDescent="0.25">
      <c r="A2" s="8" t="s">
        <v>141</v>
      </c>
      <c r="B2" s="8"/>
      <c r="C2" s="8"/>
      <c r="D2" s="8"/>
      <c r="E2" s="8"/>
    </row>
    <row r="4" spans="1:10" ht="27.75" customHeight="1" x14ac:dyDescent="0.25">
      <c r="A4" s="7" t="s">
        <v>142</v>
      </c>
      <c r="B4" s="7"/>
      <c r="C4" s="7"/>
      <c r="D4" s="7"/>
      <c r="E4" s="7"/>
    </row>
    <row r="6" spans="1:10" ht="24" customHeight="1" x14ac:dyDescent="0.25">
      <c r="A6" s="6" t="s">
        <v>143</v>
      </c>
      <c r="B6" s="6"/>
      <c r="C6" s="6"/>
      <c r="D6" s="6"/>
      <c r="E6" s="6"/>
    </row>
    <row r="7" spans="1:10" ht="18" customHeight="1" x14ac:dyDescent="0.25">
      <c r="B7" s="21" t="s">
        <v>32</v>
      </c>
      <c r="C7" s="15" t="s">
        <v>144</v>
      </c>
      <c r="D7" s="15" t="s">
        <v>34</v>
      </c>
      <c r="J7" s="16" t="s">
        <v>35</v>
      </c>
    </row>
    <row r="8" spans="1:10" ht="45.75" customHeight="1" x14ac:dyDescent="0.25">
      <c r="B8" s="20" t="s">
        <v>145</v>
      </c>
      <c r="C8" s="23"/>
      <c r="D8" s="17" t="str">
        <f>IF(C8="","",IFERROR(IFERROR(IF(ABS(C8-1)&lt;0.01,"✓  Correct","✗  Try again"),"✗  Try again"),"✗  Try again"))</f>
        <v/>
      </c>
      <c r="J8" s="18" t="s">
        <v>146</v>
      </c>
    </row>
    <row r="10" spans="1:10" ht="24" customHeight="1" x14ac:dyDescent="0.25">
      <c r="A10" s="6" t="s">
        <v>147</v>
      </c>
      <c r="B10" s="6"/>
      <c r="C10" s="6"/>
      <c r="D10" s="6"/>
      <c r="E10" s="6"/>
    </row>
    <row r="11" spans="1:10" ht="43.5" customHeight="1" x14ac:dyDescent="0.25">
      <c r="B11" s="3" t="s">
        <v>148</v>
      </c>
      <c r="C11" s="3"/>
      <c r="D11" s="24"/>
      <c r="E11" s="24"/>
    </row>
    <row r="12" spans="1:10" ht="43.5" customHeight="1" x14ac:dyDescent="0.25">
      <c r="B12" s="3" t="s">
        <v>149</v>
      </c>
      <c r="C12" s="3"/>
      <c r="D12" s="24"/>
      <c r="E12" s="24"/>
    </row>
    <row r="13" spans="1:10" ht="43.5" customHeight="1" x14ac:dyDescent="0.25">
      <c r="B13" s="3" t="s">
        <v>150</v>
      </c>
      <c r="C13" s="3"/>
      <c r="D13" s="24"/>
      <c r="E13" s="2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1">
    <mergeCell ref="B11:C11"/>
    <mergeCell ref="D11:E11"/>
    <mergeCell ref="B12:C12"/>
    <mergeCell ref="D12:E12"/>
    <mergeCell ref="B13:C13"/>
    <mergeCell ref="D13:E13"/>
    <mergeCell ref="A1:E1"/>
    <mergeCell ref="A2:E2"/>
    <mergeCell ref="A4:E4"/>
    <mergeCell ref="A6:E6"/>
    <mergeCell ref="A10:E10"/>
  </mergeCells>
  <conditionalFormatting sqref="D8">
    <cfRule type="expression" dxfId="1" priority="2">
      <formula>ISNUMBER(SEARCH("Correct",D8))</formula>
    </cfRule>
    <cfRule type="expression" dxfId="0" priority="3">
      <formula>ISNUMBER(SEARCH("Try",D8))</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8F00"/>
  </sheetPr>
  <dimension ref="A1:V1000"/>
  <sheetViews>
    <sheetView showGridLines="0" tabSelected="1" zoomScaleNormal="100" workbookViewId="0">
      <selection activeCell="C7" sqref="C7"/>
    </sheetView>
  </sheetViews>
  <sheetFormatPr defaultColWidth="14.42578125" defaultRowHeight="15" x14ac:dyDescent="0.25"/>
  <cols>
    <col min="1" max="1" width="3" customWidth="1"/>
    <col min="2" max="2" width="50" customWidth="1"/>
    <col min="3" max="5" width="16" customWidth="1"/>
    <col min="6" max="6" width="29.85546875" customWidth="1"/>
    <col min="7" max="8" width="8.7109375" customWidth="1"/>
    <col min="10" max="22" width="3.42578125" customWidth="1"/>
  </cols>
  <sheetData>
    <row r="1" spans="1:22" ht="30" customHeight="1" x14ac:dyDescent="0.25">
      <c r="A1" s="9" t="s">
        <v>151</v>
      </c>
      <c r="B1" s="9"/>
      <c r="C1" s="9"/>
      <c r="D1" s="9"/>
      <c r="E1" s="9"/>
      <c r="F1" s="9"/>
      <c r="J1" s="10" t="s">
        <v>1</v>
      </c>
    </row>
    <row r="2" spans="1:22" ht="21.75" customHeight="1" x14ac:dyDescent="0.25">
      <c r="A2" s="8" t="s">
        <v>152</v>
      </c>
      <c r="B2" s="8"/>
      <c r="C2" s="8"/>
      <c r="D2" s="8"/>
      <c r="E2" s="8"/>
      <c r="F2" s="8"/>
      <c r="J2" s="11">
        <v>1</v>
      </c>
      <c r="K2" s="11">
        <v>2</v>
      </c>
      <c r="L2" s="11">
        <v>3</v>
      </c>
      <c r="M2" s="12">
        <v>4</v>
      </c>
      <c r="N2" s="11">
        <v>5</v>
      </c>
      <c r="O2" s="11">
        <v>6</v>
      </c>
      <c r="P2" s="11">
        <v>7</v>
      </c>
      <c r="Q2" s="11">
        <v>8</v>
      </c>
      <c r="R2" s="11">
        <v>9</v>
      </c>
      <c r="S2" s="11">
        <v>10</v>
      </c>
      <c r="T2" s="11">
        <v>11</v>
      </c>
      <c r="U2" s="11">
        <v>12</v>
      </c>
      <c r="V2" s="11">
        <v>13</v>
      </c>
    </row>
    <row r="4" spans="1:22" ht="24" customHeight="1" x14ac:dyDescent="0.25">
      <c r="A4" s="6" t="s">
        <v>153</v>
      </c>
      <c r="B4" s="6"/>
      <c r="C4" s="6"/>
      <c r="D4" s="6"/>
      <c r="E4" s="6"/>
      <c r="F4" s="6"/>
      <c r="G4" s="6"/>
      <c r="H4" s="6"/>
    </row>
    <row r="5" spans="1:22" ht="18" customHeight="1" x14ac:dyDescent="0.25">
      <c r="A5" s="7" t="s">
        <v>154</v>
      </c>
      <c r="B5" s="7"/>
      <c r="C5" s="7"/>
      <c r="D5" s="7"/>
      <c r="E5" s="7"/>
      <c r="F5" s="7"/>
      <c r="G5" s="7"/>
      <c r="H5" s="7"/>
    </row>
    <row r="6" spans="1:22" ht="24" customHeight="1" x14ac:dyDescent="0.25">
      <c r="C6" s="23"/>
      <c r="D6" s="3" t="s">
        <v>155</v>
      </c>
      <c r="E6" s="3"/>
      <c r="F6" s="3"/>
    </row>
    <row r="7" spans="1:22" ht="24" customHeight="1" x14ac:dyDescent="0.25">
      <c r="C7" s="23"/>
      <c r="D7" s="3" t="s">
        <v>156</v>
      </c>
      <c r="E7" s="3"/>
      <c r="F7" s="3"/>
    </row>
    <row r="8" spans="1:22" ht="24" customHeight="1" x14ac:dyDescent="0.25">
      <c r="C8" s="23"/>
      <c r="D8" s="3" t="s">
        <v>157</v>
      </c>
      <c r="E8" s="3"/>
      <c r="F8" s="3"/>
    </row>
    <row r="9" spans="1:22" ht="24" customHeight="1" x14ac:dyDescent="0.25">
      <c r="C9" s="23"/>
      <c r="D9" s="3" t="s">
        <v>158</v>
      </c>
      <c r="E9" s="3"/>
      <c r="F9" s="3"/>
    </row>
    <row r="10" spans="1:22" ht="24" customHeight="1" x14ac:dyDescent="0.25">
      <c r="C10" s="23"/>
      <c r="D10" s="3" t="s">
        <v>159</v>
      </c>
      <c r="E10" s="3"/>
      <c r="F10" s="3"/>
    </row>
    <row r="12" spans="1:22" ht="24" customHeight="1" x14ac:dyDescent="0.25">
      <c r="A12" s="6" t="s">
        <v>160</v>
      </c>
      <c r="B12" s="6"/>
      <c r="C12" s="6"/>
      <c r="D12" s="6"/>
      <c r="E12" s="6"/>
      <c r="F12" s="6"/>
      <c r="G12" s="6"/>
      <c r="H12" s="6"/>
    </row>
    <row r="13" spans="1:22" ht="18" customHeight="1" x14ac:dyDescent="0.25">
      <c r="A13" s="7" t="s">
        <v>161</v>
      </c>
      <c r="B13" s="7"/>
      <c r="C13" s="7"/>
      <c r="D13" s="7"/>
      <c r="E13" s="7"/>
      <c r="F13" s="7"/>
      <c r="G13" s="7"/>
      <c r="H13" s="7"/>
    </row>
    <row r="14" spans="1:22" ht="18" customHeight="1" x14ac:dyDescent="0.25">
      <c r="B14" s="4" t="s">
        <v>15</v>
      </c>
      <c r="C14" s="4"/>
      <c r="D14" s="4"/>
      <c r="E14" s="14" t="s">
        <v>162</v>
      </c>
    </row>
    <row r="15" spans="1:22" ht="21.75" customHeight="1" x14ac:dyDescent="0.25">
      <c r="B15" s="3" t="s">
        <v>17</v>
      </c>
      <c r="C15" s="3"/>
      <c r="D15" s="3"/>
      <c r="E15" s="23"/>
    </row>
    <row r="16" spans="1:22" ht="21.75" customHeight="1" x14ac:dyDescent="0.25">
      <c r="B16" s="3" t="s">
        <v>18</v>
      </c>
      <c r="C16" s="3"/>
      <c r="D16" s="3"/>
      <c r="E16" s="23"/>
    </row>
    <row r="17" spans="2:6" ht="21.75" customHeight="1" x14ac:dyDescent="0.25">
      <c r="B17" s="3" t="s">
        <v>19</v>
      </c>
      <c r="C17" s="3"/>
      <c r="D17" s="3"/>
      <c r="E17" s="23"/>
    </row>
    <row r="18" spans="2:6" ht="21.75" customHeight="1" x14ac:dyDescent="0.25">
      <c r="B18" s="3" t="s">
        <v>20</v>
      </c>
      <c r="C18" s="3"/>
      <c r="D18" s="3"/>
      <c r="E18" s="23"/>
    </row>
    <row r="20" spans="2:6" ht="15" customHeight="1" x14ac:dyDescent="0.25">
      <c r="B20" s="5" t="s">
        <v>163</v>
      </c>
      <c r="C20" s="5"/>
      <c r="D20" s="5"/>
      <c r="E20" s="5"/>
      <c r="F20" s="5"/>
    </row>
    <row r="21" spans="2:6" ht="15.75" customHeight="1" x14ac:dyDescent="0.25">
      <c r="B21" s="5"/>
      <c r="C21" s="5"/>
      <c r="D21" s="5"/>
      <c r="E21" s="5"/>
      <c r="F21" s="5"/>
    </row>
    <row r="22" spans="2:6" ht="15.75" customHeight="1" x14ac:dyDescent="0.25">
      <c r="B22" s="5"/>
      <c r="C22" s="5"/>
      <c r="D22" s="5"/>
      <c r="E22" s="5"/>
      <c r="F22" s="5"/>
    </row>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B18:D18"/>
    <mergeCell ref="B20:F22"/>
    <mergeCell ref="A13:H13"/>
    <mergeCell ref="B14:D14"/>
    <mergeCell ref="B15:D15"/>
    <mergeCell ref="B16:D16"/>
    <mergeCell ref="B17:D17"/>
    <mergeCell ref="D7:F7"/>
    <mergeCell ref="D8:F8"/>
    <mergeCell ref="D9:F9"/>
    <mergeCell ref="D10:F10"/>
    <mergeCell ref="A12:H12"/>
    <mergeCell ref="A1:F1"/>
    <mergeCell ref="A2:F2"/>
    <mergeCell ref="A4:H4"/>
    <mergeCell ref="A5:H5"/>
    <mergeCell ref="D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Start Here</vt:lpstr>
      <vt:lpstr>Task 1 - Split</vt:lpstr>
      <vt:lpstr>Task 2 - Fill Down</vt:lpstr>
      <vt:lpstr>Task 3 - Fill Up</vt:lpstr>
      <vt:lpstr>Task 4 - Custom Column</vt:lpstr>
      <vt:lpstr>Task 5 - Column From Examples</vt:lpstr>
      <vt:lpstr>Task 6 - Conditional Columns</vt:lpstr>
      <vt:lpstr>Support</vt:lpstr>
      <vt:lpstr>Stretch</vt:lpstr>
      <vt:lpstr>Confidence &amp;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Chittenden</cp:lastModifiedBy>
  <cp:revision>0</cp:revision>
  <dcterms:created xsi:type="dcterms:W3CDTF">2026-06-10T13:07:28Z</dcterms:created>
  <dcterms:modified xsi:type="dcterms:W3CDTF">2026-06-22T20:48:33Z</dcterms:modified>
  <dc:language>en-US</dc:language>
</cp:coreProperties>
</file>