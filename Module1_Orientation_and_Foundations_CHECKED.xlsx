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CHECKED\"/>
    </mc:Choice>
  </mc:AlternateContent>
  <xr:revisionPtr revIDLastSave="0" documentId="8_{AE1CDFEA-D224-42F1-8857-0FB124739559}" xr6:coauthVersionLast="47" xr6:coauthVersionMax="47" xr10:uidLastSave="{00000000-0000-0000-0000-000000000000}"/>
  <bookViews>
    <workbookView xWindow="28680" yWindow="-120" windowWidth="29040" windowHeight="17520" tabRatio="779" xr2:uid="{00000000-000D-0000-FFFF-FFFF00000000}"/>
  </bookViews>
  <sheets>
    <sheet name="Start Here" sheetId="1" r:id="rId1"/>
    <sheet name="The EPA Explained" sheetId="2" r:id="rId2"/>
    <sheet name="Members" sheetId="3" r:id="rId3"/>
    <sheet name="Bookings" sheetId="4" r:id="rId4"/>
    <sheet name="Payments" sheetId="5" r:id="rId5"/>
    <sheet name="Task - Access &amp; Examine" sheetId="6" r:id="rId6"/>
    <sheet name="Support" sheetId="7" r:id="rId7"/>
    <sheet name="Rescue - If It Goes Wrong" sheetId="8" r:id="rId8"/>
    <sheet name="Stretch" sheetId="9" r:id="rId9"/>
    <sheet name="Confidence &amp; Next Steps" sheetId="10" r:id="rId10"/>
  </sheets>
  <definedNames>
    <definedName name="_xlnm._FilterDatabase" localSheetId="3" hidden="1">Bookings!$A$4:$E$24</definedName>
    <definedName name="_xlnm._FilterDatabase" localSheetId="2" hidden="1">Members!$A$4:$E$28</definedName>
    <definedName name="_xlnm._FilterDatabase" localSheetId="4" hidden="1">Payments!$A$4:$G$24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9" l="1"/>
  <c r="D8" i="9"/>
  <c r="D12" i="6"/>
  <c r="D11" i="6"/>
  <c r="D10" i="6"/>
  <c r="D9" i="6"/>
  <c r="D8" i="6"/>
  <c r="E28" i="2"/>
  <c r="E27" i="2"/>
  <c r="E26" i="2"/>
  <c r="E25" i="2"/>
  <c r="E24" i="2"/>
</calcChain>
</file>

<file path=xl/sharedStrings.xml><?xml version="1.0" encoding="utf-8"?>
<sst xmlns="http://schemas.openxmlformats.org/spreadsheetml/2006/main" count="325" uniqueCount="229">
  <si>
    <t>Module 1  -  Orientation &amp; Foundations</t>
  </si>
  <si>
    <t>YOUR JOURNEY</t>
  </si>
  <si>
    <t>Data Technician L3 - Scenario Demonstration prep  -  Self-paced workbook</t>
  </si>
  <si>
    <t>Next  ▶</t>
  </si>
  <si>
    <t>Welcome. This is the first of a set of workbooks that build one continuous data story - the same Riverside Community Sports Club data grows and changes as you move through the modules, just like a real scenario demonstration. Work at your own pace. Nothing here is marked by anyone but you.</t>
  </si>
  <si>
    <t>How this workbook works</t>
  </si>
  <si>
    <t>•  Yellow cells are for YOU to type in. Everything else is fixed content or self-checking - you only ever need to type in the yellow cells.</t>
  </si>
  <si>
    <t>•  When you answer a task, the cell next to it turns GREEN if correct, RED if not - instant, private feedback.</t>
  </si>
  <si>
    <t>•  Stuck on the Excel mechanics? Open the 'Support' tab. Want a challenge? Open the 'Stretch' tab.</t>
  </si>
  <si>
    <t>•  Move on only when you can tick the gate on the 'Confidence &amp; Next Steps' tab - that is your readiness signal.</t>
  </si>
  <si>
    <t>Two ways to pace it</t>
  </si>
  <si>
    <t>•  Self-paced sprint: aim to finish Modules 1-7 across about 3 days. Module 1 takes roughly 60-90 minutes.</t>
  </si>
  <si>
    <t>•  Spread / tutor-led: one module per session over ~5 weeks, with group discussion added around each task.</t>
  </si>
  <si>
    <t>Before you start - a 60-second reset</t>
  </si>
  <si>
    <t>Feeling nervous about the assessment is normal - being watched and timed is the part most people worry about. Try this now: breathe in for 4, hold for 4, out for 6, three times. Drop your shoulders. Remember: this workbook can't judge you, and you can repeat any task as many times as you like.</t>
  </si>
  <si>
    <t>Your confidence baseline  (rate yourself 1 = not yet, 5 = confident)</t>
  </si>
  <si>
    <t>Type a number 1-5 in each yellow cell. There are no right answers - you'll re-rate these at the end to see your progress.</t>
  </si>
  <si>
    <t>Statement</t>
  </si>
  <si>
    <t>Rating (1-5)</t>
  </si>
  <si>
    <t>I understand what the scenario demonstration involves</t>
  </si>
  <si>
    <t>I can access and open data from different source files</t>
  </si>
  <si>
    <t>I can examine a data set and describe what's in it</t>
  </si>
  <si>
    <t>I can save a data set in a required format</t>
  </si>
  <si>
    <t>When you're ready, work left to right through the tabs at the bottom, starting with 'The EPA Explained'.</t>
  </si>
  <si>
    <t>What the assessment actually looks like</t>
  </si>
  <si>
    <t>Demystifying Assessment Method 1 - so there are no surprises on the day</t>
  </si>
  <si>
    <t>The scenario demonstration is a practical test where an independent assessor watches you work with real data and asks you questions about what you're doing. Knowing the shape of it removes most of the worry. Here are the facts:</t>
  </si>
  <si>
    <t>The facts</t>
  </si>
  <si>
    <t>Two scenarios</t>
  </si>
  <si>
    <t>Scenario 1 = Data Gathering. Scenario 2 = Data Analysis &amp; Validation.</t>
  </si>
  <si>
    <t>45 minutes each</t>
  </si>
  <si>
    <t>90 minutes total. You finish scenario 1 (and its questions) before starting scenario 2.</t>
  </si>
  <si>
    <t>You are observed one-to-one</t>
  </si>
  <si>
    <t>A maximum of one apprentice per assessor. The assessor stays unobtrusive.</t>
  </si>
  <si>
    <t>You are questioned</t>
  </si>
  <si>
    <t>At least 10 open questions across the two scenarios - during and/or after.</t>
  </si>
  <si>
    <t>Unfamiliar data is allowed</t>
  </si>
  <si>
    <t>Scenarios may use a different business domain to your own - the skills are what's tested, not the topic.</t>
  </si>
  <si>
    <t>Graded Fail / Pass / Distinction</t>
  </si>
  <si>
    <t>Three outcomes for this method. Combined with Method 2 for your overall grade.</t>
  </si>
  <si>
    <t>Six activities you MUST be seen doing</t>
  </si>
  <si>
    <t>①  Access multiple different data sources</t>
  </si>
  <si>
    <t>②  Examine data using appropriate tools</t>
  </si>
  <si>
    <t>③  Make adjustments to a data set (correct errors / filter to a subset)</t>
  </si>
  <si>
    <t>④  Save a data set to a required location in a specified format</t>
  </si>
  <si>
    <t>⑤  Make notes on observations and actions taken</t>
  </si>
  <si>
    <t>⑥  Identify and explain key characteristics of a data set</t>
  </si>
  <si>
    <t>Quick understanding check  (type your answer in the yellow cell)</t>
  </si>
  <si>
    <t>Question</t>
  </si>
  <si>
    <t>Your answer</t>
  </si>
  <si>
    <t>Check</t>
  </si>
  <si>
    <t>💡 Hint</t>
  </si>
  <si>
    <t>How many separate scenarios are there?</t>
  </si>
  <si>
    <t>All five answers sit in 'The facts' table just above — and they are worth knowing cold before assessment day, so try answering from memory first, then check.</t>
  </si>
  <si>
    <t>How many minutes is each scenario?</t>
  </si>
  <si>
    <t>What is the total assessment time, in minutes?</t>
  </si>
  <si>
    <t>Minimum number of questions across both scenarios?</t>
  </si>
  <si>
    <t>How many grade outcomes does this method have? (Fail/Pass/Distinction)</t>
  </si>
  <si>
    <t>Source file: Members</t>
  </si>
  <si>
    <t>Raw membership export - one of three sources you'll work with throughout. (Name is one combined field for now.)</t>
  </si>
  <si>
    <t>MemberID</t>
  </si>
  <si>
    <t>MemberName</t>
  </si>
  <si>
    <t>JoinDate</t>
  </si>
  <si>
    <t>MembershipType</t>
  </si>
  <si>
    <t>Email</t>
  </si>
  <si>
    <t>Khan, Aisha</t>
  </si>
  <si>
    <t>Adult</t>
  </si>
  <si>
    <t>aisha.khan@example.com</t>
  </si>
  <si>
    <t>Reilly, Tom</t>
  </si>
  <si>
    <t>Family</t>
  </si>
  <si>
    <t>tom.reilly@example.com</t>
  </si>
  <si>
    <t>O'Neil, Grace</t>
  </si>
  <si>
    <t>Junior</t>
  </si>
  <si>
    <t>grace.oneil@example.com</t>
  </si>
  <si>
    <t>Patel, David</t>
  </si>
  <si>
    <t>Senior</t>
  </si>
  <si>
    <t>d.patel@example.com</t>
  </si>
  <si>
    <t>Santos, Maria</t>
  </si>
  <si>
    <t>maria.santos@example.com</t>
  </si>
  <si>
    <t>Walsh, Liam</t>
  </si>
  <si>
    <t>liam.walsh@example.com</t>
  </si>
  <si>
    <t>Bennett, Chloe</t>
  </si>
  <si>
    <t>chloe.bennett@example.com</t>
  </si>
  <si>
    <t>Fischer, Noah</t>
  </si>
  <si>
    <t>noah.fischer@example.com</t>
  </si>
  <si>
    <t>Sharma, Priya</t>
  </si>
  <si>
    <t>priya.sharma@example.com</t>
  </si>
  <si>
    <t>Murray, James</t>
  </si>
  <si>
    <t>james.murray@example.com</t>
  </si>
  <si>
    <t>Rossi, Sofia</t>
  </si>
  <si>
    <t>sofia.rossi@example.com</t>
  </si>
  <si>
    <t>Carter, Ben</t>
  </si>
  <si>
    <t>ben.carter@example.com</t>
  </si>
  <si>
    <t>Lee, Hannah</t>
  </si>
  <si>
    <t>hannah.lee@example.com</t>
  </si>
  <si>
    <t>Hassan, Omar</t>
  </si>
  <si>
    <t>omar.hassan@example.com</t>
  </si>
  <si>
    <t>Thompson, Ella</t>
  </si>
  <si>
    <t>ella.thompson@example.com</t>
  </si>
  <si>
    <t>Robinson, Jack</t>
  </si>
  <si>
    <t>jack.robinson@example.com</t>
  </si>
  <si>
    <t>Nguyen, Mia</t>
  </si>
  <si>
    <t>mia.nguyen@example.com</t>
  </si>
  <si>
    <t>Clarke, Daniel</t>
  </si>
  <si>
    <t>daniel.clarke@example.com</t>
  </si>
  <si>
    <t>Ahmed, Zara</t>
  </si>
  <si>
    <t>zara.ahmed@example.com</t>
  </si>
  <si>
    <t>Meyer, Lucas</t>
  </si>
  <si>
    <t>lucas.meyer@example.com</t>
  </si>
  <si>
    <t>Scott, Freya</t>
  </si>
  <si>
    <t>freya.scott@example.com</t>
  </si>
  <si>
    <t>Foster, Adam</t>
  </si>
  <si>
    <t>Murphy, Isla</t>
  </si>
  <si>
    <t>Aduit</t>
  </si>
  <si>
    <t>isla.murphy@example.com</t>
  </si>
  <si>
    <t>Source file: Bookings</t>
  </si>
  <si>
    <t>Raw activity bookings export. Notice the Date column: the printed report shows each date only once per day - the blanks underneath are real gaps you'll fix in Module 4.</t>
  </si>
  <si>
    <t>BookingID</t>
  </si>
  <si>
    <t>Activity</t>
  </si>
  <si>
    <t>Date</t>
  </si>
  <si>
    <t>DurationMins</t>
  </si>
  <si>
    <t>Swimming</t>
  </si>
  <si>
    <t>Tennis</t>
  </si>
  <si>
    <t>Gym</t>
  </si>
  <si>
    <t>Yoga</t>
  </si>
  <si>
    <t>Squash</t>
  </si>
  <si>
    <t>Source file: Payments</t>
  </si>
  <si>
    <t>Raw payments export. Notice DepositBatch: the export writes the batch ref only on the LAST payment of each batch - the blanks above are real gaps you'll fix in Module 4.</t>
  </si>
  <si>
    <t>PaymentID</t>
  </si>
  <si>
    <t>Amount</t>
  </si>
  <si>
    <t>Method</t>
  </si>
  <si>
    <t>DepositBatch</t>
  </si>
  <si>
    <t>ExportRef</t>
  </si>
  <si>
    <t>Direct Debit</t>
  </si>
  <si>
    <t>EXP-JAN24</t>
  </si>
  <si>
    <t>Card</t>
  </si>
  <si>
    <t>DB-2024-001</t>
  </si>
  <si>
    <t>Cash</t>
  </si>
  <si>
    <t>DB-2024-002</t>
  </si>
  <si>
    <t>DB-2024-003</t>
  </si>
  <si>
    <t>DB-2024-004</t>
  </si>
  <si>
    <t>Task A - Access &amp; Examine the source data</t>
  </si>
  <si>
    <t>KSBs: K2, K3, S1, S2  -  Open each source, look at it, and describe what's there</t>
  </si>
  <si>
    <t>Open the Members, Bookings and Payments tabs and explore them. Then answer the questions below. Type your answer in the yellow cell; the Check cell tells you instantly if you're right. Use the Support tab if you're unsure how to find an answer in Excel.</t>
  </si>
  <si>
    <t>Examine questions</t>
  </si>
  <si>
    <t>💡 Hints — try before you peek</t>
  </si>
  <si>
    <t>How many member records are in the Members sheet? (count the data rows)</t>
  </si>
  <si>
    <t>Try =COUNTA(Members!A5:A28) — or select the MemberID column and read Count on the status bar.</t>
  </si>
  <si>
    <t>How many fields (columns) does the Members sheet have?</t>
  </si>
  <si>
    <t>Try =COUNTA(Members!A4:E4) on the header row — or just read the last headed column letter.</t>
  </si>
  <si>
    <t>How many different activities appear in the Bookings sheet?</t>
  </si>
  <si>
    <t>Try =COUNTA(UNIQUE(Bookings!C5:C24)) if your Excel has UNIQUE (365/2021). On any Excel: copy Activity to a blank area, then Data &gt; Remove Duplicates.</t>
  </si>
  <si>
    <t>In which year did the earliest member join? (look at JoinDate)</t>
  </si>
  <si>
    <t>Dates are real dates now — try =YEAR(MIN(Members!C5:C28)). Or sort JoinDate oldest-first.</t>
  </si>
  <si>
    <t>How many payment records are in the Payments sheet?</t>
  </si>
  <si>
    <t>Try =COUNTA(Payments!A5:A24) — or select the column and read Count on the status bar.</t>
  </si>
  <si>
    <t>Describe it (for your own notes - no marking)</t>
  </si>
  <si>
    <t>Practising 'making notes on observations' is one of the six must-do activities. Jot a short note in each yellow cell.</t>
  </si>
  <si>
    <t>One sentence: what does each source file contain?</t>
  </si>
  <si>
    <t>Which field could be used to link the three files together?</t>
  </si>
  <si>
    <t>Name one thing that looks odd or might need checking later.</t>
  </si>
  <si>
    <t>Save task  (the 4th must-do activity)</t>
  </si>
  <si>
    <t>Practise saving data in a specified format. Tick each step as you do it (type x in the yellow box).</t>
  </si>
  <si>
    <t>1. Select the Members data and copy it into a new blank workbook</t>
  </si>
  <si>
    <t>2. Use File &gt; Save As and choose CSV (Comma delimited) format</t>
  </si>
  <si>
    <t>3. Name it Members_export.csv and save it to a folder you'll remember</t>
  </si>
  <si>
    <t>4. Re-open the CSV to confirm it saved correctly</t>
  </si>
  <si>
    <t>Support - how to do it in Excel</t>
  </si>
  <si>
    <t>Open this if you're not sure of the mechanics. No shame in using it.</t>
  </si>
  <si>
    <t>Step-by-step for the things Task A asks you to do. These are general skills you'll use in every module.</t>
  </si>
  <si>
    <t>Count how many records there are</t>
  </si>
  <si>
    <t>Click an empty cell and type =COUNTA over the MemberID column, or look at the row number of the last filled row (data starts at row 5).</t>
  </si>
  <si>
    <t>Count the columns / fields</t>
  </si>
  <si>
    <t>Look along the header row (row 4) and count the labelled columns, or note the last column letter that has a heading.</t>
  </si>
  <si>
    <t>Find how many DIFFERENT values are in a column</t>
  </si>
  <si>
    <t>Copy the Activity column to a blank area, then Data &gt; Remove Duplicates, and count what's left.</t>
  </si>
  <si>
    <t>Find the earliest / latest date</t>
  </si>
  <si>
    <t>Look down the JoinDate column for the smallest (earliest) value; the year is the first 4 digits.</t>
  </si>
  <si>
    <t>Save data as CSV</t>
  </si>
  <si>
    <t>File &gt; Save As &gt; choose 'CSV (Comma delimited) (*.csv)' from the file-type dropdown &gt; pick your folder &gt; Save.</t>
  </si>
  <si>
    <t>Open a CSV to check it</t>
  </si>
  <si>
    <t>Double-click the .csv file, or in Excel use File &gt; Open and select it. The columns should line up under their headings.</t>
  </si>
  <si>
    <t>If it all goes wrong - the rescue page</t>
  </si>
  <si>
    <t>Module 1 failures: mostly navigation - all instantly fixable</t>
  </si>
  <si>
    <t>💡  GOLDEN RULE: nothing you type in this workbook can damage the data tabs or the source files. Typing only changes the one cell you typed in - and even that is one Ctrl+Z from gone. Worst case: close WITHOUT saving and reopen for a pristine copy. Breathe; nothing is lost.</t>
  </si>
  <si>
    <t>The fallback ladder - always in this order</t>
  </si>
  <si>
    <t>①  Ctrl+Z undoes your last action - press it repeatedly to walk further back.</t>
  </si>
  <si>
    <t>②  Typed in the wrong cell? Click it, press Delete, and type in the yellow cell instead - only yellow cells are inputs.</t>
  </si>
  <si>
    <t>③  A red check you disagree with: retype the bare number (no spaces or letters), then re-read the question carefully.</t>
  </si>
  <si>
    <t>④  Close WITHOUT saving and reopen - a pristine copy of the whole workbook in under a minute. Nothing is lost.</t>
  </si>
  <si>
    <t>⑤  Open the Support tab for the click-by-click mechanics of every move this module asks for.</t>
  </si>
  <si>
    <t>⑥  Still stuck? Ask - a precise question ("my count shows 25, the check wants 24") is a professional skill, not a failure.</t>
  </si>
  <si>
    <t>This module's classic failures - symptom on the left, fix on the right</t>
  </si>
  <si>
    <t>Typed into the wrong cell</t>
  </si>
  <si>
    <t>Delete it (Delete key) and type in the yellow cell. Only yellow cells are inputs; nothing else listens.</t>
  </si>
  <si>
    <t>A check stays red but you are sure you are right</t>
  </si>
  <si>
    <t>Check for a stray space or letter; type the bare number. Still red? Re-read the question - it may ask for a count, not a value.</t>
  </si>
  <si>
    <t>Accidentally changed a data tab value</t>
  </si>
  <si>
    <t>Ctrl+Z until it is back - or close WITHOUT saving and reopen for a pristine copy.</t>
  </si>
  <si>
    <t>Cannot find a tab</t>
  </si>
  <si>
    <t>Tabs run along the bottom; the arrows at bottom-left scroll them. Tab colours: blue = task, green = support, purple = stretch, gold = gate.</t>
  </si>
  <si>
    <t>💡  In the assessment, things going wrong is EXPECTED - assessors credit calm recovery. Narrate it: "That count looks off - I will re-select the range and check the status bar" scores better than silent panic ever can.</t>
  </si>
  <si>
    <t>Stretch - push towards Distinction</t>
  </si>
  <si>
    <t>For when Task A felt easy. Less hand-holding, more reasoning.</t>
  </si>
  <si>
    <t>Distinction is about explaining the WHY, not just doing the WHAT. Try these without the Support tab.</t>
  </si>
  <si>
    <t>Harder examine questions (self-check)</t>
  </si>
  <si>
    <t>How many booking records are there in total?</t>
  </si>
  <si>
    <t>Try =COUNTA(Bookings!A5:A24) — the IDs are one per booking.</t>
  </si>
  <si>
    <t>How many members have membership type exactly 'Adult'? (watch for a typo!)</t>
  </si>
  <si>
    <t>Try =COUNTIF(Members!D5:D28,"Adult") — an exact-match count will NOT include the typo.</t>
  </si>
  <si>
    <t>Hint: question 2 is a clue to what 'data quality' means - you'll fix issues exactly like this in Module 3 (Cleaning Data).</t>
  </si>
  <si>
    <t>Reasoning prompts (write your own answer - no marking)</t>
  </si>
  <si>
    <t>Why does a data technician gather from MULTIPLE sources rather than one? (links to K6)</t>
  </si>
  <si>
    <t>What value does this club's data have to the organisation? Give two examples.</t>
  </si>
  <si>
    <t>If the assessor handed you data from a hospital instead of a sports club, what would stay exactly the same about your approach?</t>
  </si>
  <si>
    <t>Confidence &amp; Next Steps</t>
  </si>
  <si>
    <t>Your readiness gate for Module 2</t>
  </si>
  <si>
    <t>✓  Module complete</t>
  </si>
  <si>
    <t>Mastery gate - you're ready for Module 2 when you can honestly tick all of these</t>
  </si>
  <si>
    <t>Type x in each yellow box you can tick. Be honest - this is just for you.</t>
  </si>
  <si>
    <t>I can open and access data from more than one source file</t>
  </si>
  <si>
    <t>I can examine a data set and say how many records and fields it has</t>
  </si>
  <si>
    <t>I can spot at least one thing that looks odd in a data set</t>
  </si>
  <si>
    <t>I can save a data set as a CSV in a folder of my choice</t>
  </si>
  <si>
    <t>I understand the format of the scenario demonstration and feel calmer about it</t>
  </si>
  <si>
    <t>Re-rate your confidence (compare with your baseline on 'Start Here')</t>
  </si>
  <si>
    <t>Rate yourself again 1-5. Seeing these rise is the point of the whole module.</t>
  </si>
  <si>
    <t>Now (1-5)</t>
  </si>
  <si>
    <t>Next up - Module 2: Data Importing. You'll meet these same three sources as real files - an Excel file, a PDF and a CSV - and import them using a built-in Excel tool called Power Query. Never used it? That is expected: Module 2 introduces it from scratch, starting with a two-minute 'Meet Power Query' page. Everything you examined here carries straight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</si>
</sst>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charset val="1"/>
    </font>
    <font>
      <b/>
      <sz val="18"/>
      <color rgb="FFFFFFFF"/>
      <name val="Arial"/>
      <family val="2"/>
    </font>
    <font>
      <b/>
      <sz val="7"/>
      <color rgb="FF8C8C8C"/>
      <name val="Arial"/>
      <family val="2"/>
    </font>
    <font>
      <sz val="11"/>
      <color rgb="FFFFFFFF"/>
      <name val="Arial"/>
      <family val="2"/>
    </font>
    <font>
      <b/>
      <sz val="8"/>
      <color rgb="FFFFFFFF"/>
      <name val="Arial"/>
      <family val="2"/>
    </font>
    <font>
      <sz val="8"/>
      <color rgb="FF595959"/>
      <name val="Arial"/>
      <family val="2"/>
    </font>
    <font>
      <b/>
      <sz val="10"/>
      <color rgb="FFFFFFFF"/>
      <name val="Arial"/>
      <family val="2"/>
    </font>
    <font>
      <sz val="11"/>
      <color rgb="FF000000"/>
      <name val="Arial"/>
      <family val="2"/>
    </font>
    <font>
      <b/>
      <sz val="12"/>
      <color rgb="FF1F3B57"/>
      <name val="Arial"/>
      <family val="2"/>
    </font>
    <font>
      <sz val="11"/>
      <color rgb="FF006100"/>
      <name val="Arial"/>
      <family val="2"/>
    </font>
    <font>
      <b/>
      <sz val="10.5"/>
      <color rgb="FFFFFFFF"/>
      <name val="Arial"/>
      <family val="2"/>
    </font>
    <font>
      <b/>
      <sz val="11"/>
      <color rgb="FF1F3B57"/>
      <name val="Arial"/>
      <family val="2"/>
    </font>
    <font>
      <b/>
      <sz val="10"/>
      <color rgb="FF1F6B6B"/>
      <name val="Arial"/>
      <family val="2"/>
    </font>
    <font>
      <b/>
      <sz val="11"/>
      <name val="Arial"/>
      <family val="2"/>
    </font>
    <font>
      <i/>
      <sz val="9.5"/>
      <color rgb="FF3F6363"/>
      <name val="Arial"/>
      <family val="2"/>
    </font>
    <font>
      <b/>
      <sz val="11"/>
      <color rgb="FFFFFFFF"/>
      <name val="Arial"/>
      <family val="2"/>
    </font>
    <font>
      <sz val="10.5"/>
      <color rgb="FF5B4A1F"/>
      <name val="Arial"/>
      <family val="2"/>
    </font>
    <font>
      <sz val="11"/>
      <name val="Arial"/>
      <family val="2"/>
    </font>
    <font>
      <sz val="11"/>
      <color rgb="FF2E8B8B"/>
      <name val="Arial"/>
      <family val="2"/>
    </font>
  </fonts>
  <fills count="12">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FF6F6"/>
        <bgColor rgb="FFF2F7F7"/>
      </patternFill>
    </fill>
    <fill>
      <patternFill patternType="solid">
        <fgColor rgb="FFF2F7F7"/>
        <bgColor rgb="FFEFF6F6"/>
      </patternFill>
    </fill>
    <fill>
      <patternFill patternType="solid">
        <fgColor rgb="FFFFFFFF"/>
        <bgColor rgb="FFF2F7F7"/>
      </patternFill>
    </fill>
    <fill>
      <patternFill patternType="solid">
        <fgColor rgb="FFFDF4E3"/>
        <bgColor rgb="FFF2F7F7"/>
      </patternFill>
    </fill>
  </fills>
  <borders count="11">
    <border>
      <left/>
      <right/>
      <top/>
      <bottom/>
      <diagonal/>
    </border>
    <border>
      <left/>
      <right/>
      <top/>
      <bottom style="medium">
        <color rgb="FF2E8B8B"/>
      </bottom>
      <diagonal/>
    </border>
    <border>
      <left style="thin">
        <color rgb="FF1F6B6B"/>
      </left>
      <right style="thin">
        <color rgb="FF1F6B6B"/>
      </right>
      <top style="thin">
        <color rgb="FF1F6B6B"/>
      </top>
      <bottom style="thin">
        <color rgb="FF1F6B6B"/>
      </bottom>
      <diagonal/>
    </border>
    <border>
      <left style="thick">
        <color rgb="FF2E8B8B"/>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n">
        <color rgb="FFD9D9D9"/>
      </left>
      <right style="thin">
        <color rgb="FFD9D9D9"/>
      </right>
      <top style="thin">
        <color rgb="FFD9D9D9"/>
      </top>
      <bottom style="thin">
        <color rgb="FFD9D9D9"/>
      </bottom>
      <diagonal/>
    </border>
    <border>
      <left style="thick">
        <color rgb="FFE8A33D"/>
      </left>
      <right/>
      <top/>
      <bottom/>
      <diagonal/>
    </border>
    <border>
      <left/>
      <right/>
      <top/>
      <bottom style="thin">
        <color rgb="FFD9D9D9"/>
      </bottom>
      <diagonal/>
    </border>
  </borders>
  <cellStyleXfs count="1">
    <xf numFmtId="0" fontId="0" fillId="0" borderId="0"/>
  </cellStyleXfs>
  <cellXfs count="43">
    <xf numFmtId="0" fontId="0" fillId="0" borderId="0" xfId="0"/>
    <xf numFmtId="0" fontId="14" fillId="8" borderId="7" xfId="0" applyFont="1" applyFill="1" applyBorder="1" applyAlignment="1">
      <alignment vertical="top" wrapText="1"/>
    </xf>
    <xf numFmtId="0" fontId="2" fillId="0" borderId="0" xfId="0" applyFont="1"/>
    <xf numFmtId="0" fontId="4" fillId="3" borderId="0" xfId="0" applyFont="1" applyFill="1" applyAlignment="1">
      <alignment horizontal="center" vertical="center"/>
    </xf>
    <xf numFmtId="0" fontId="5" fillId="4" borderId="0" xfId="0" applyFont="1" applyFill="1" applyAlignment="1">
      <alignment horizontal="center" vertical="center"/>
    </xf>
    <xf numFmtId="0" fontId="6" fillId="3" borderId="2" xfId="0" applyFont="1" applyFill="1" applyBorder="1" applyAlignment="1">
      <alignment horizontal="center" vertical="center"/>
    </xf>
    <xf numFmtId="0" fontId="10" fillId="2" borderId="0" xfId="0" applyFont="1" applyFill="1" applyAlignment="1">
      <alignment vertical="center" wrapText="1"/>
    </xf>
    <xf numFmtId="0" fontId="11" fillId="0" borderId="6" xfId="0" applyFont="1" applyBorder="1" applyAlignment="1">
      <alignment vertical="top" wrapText="1"/>
    </xf>
    <xf numFmtId="0" fontId="12" fillId="0" borderId="0" xfId="0" applyFont="1" applyAlignment="1">
      <alignment vertical="center"/>
    </xf>
    <xf numFmtId="0" fontId="13" fillId="0" borderId="6" xfId="0" applyFont="1" applyBorder="1" applyAlignment="1">
      <alignment horizontal="center" vertical="center"/>
    </xf>
    <xf numFmtId="0" fontId="15" fillId="2" borderId="1" xfId="0" applyFont="1" applyFill="1" applyBorder="1" applyAlignment="1">
      <alignment horizontal="center" vertical="center"/>
    </xf>
    <xf numFmtId="0" fontId="7" fillId="9" borderId="8" xfId="0" applyFont="1" applyFill="1" applyBorder="1" applyAlignment="1">
      <alignment horizontal="center"/>
    </xf>
    <xf numFmtId="0" fontId="7" fillId="9" borderId="8" xfId="0" applyFont="1" applyFill="1" applyBorder="1"/>
    <xf numFmtId="164" fontId="7" fillId="9" borderId="8" xfId="0" applyNumberFormat="1" applyFont="1" applyFill="1" applyBorder="1" applyAlignment="1">
      <alignment horizontal="center"/>
    </xf>
    <xf numFmtId="0" fontId="7" fillId="10" borderId="8" xfId="0" applyFont="1" applyFill="1" applyBorder="1" applyAlignment="1">
      <alignment horizontal="center"/>
    </xf>
    <xf numFmtId="0" fontId="7" fillId="10" borderId="8" xfId="0" applyFont="1" applyFill="1" applyBorder="1"/>
    <xf numFmtId="164" fontId="7" fillId="10" borderId="8" xfId="0" applyNumberFormat="1" applyFont="1" applyFill="1" applyBorder="1" applyAlignment="1">
      <alignment horizontal="center"/>
    </xf>
    <xf numFmtId="2" fontId="7" fillId="9" borderId="8" xfId="0" applyNumberFormat="1" applyFont="1" applyFill="1" applyBorder="1" applyAlignment="1">
      <alignment horizontal="right"/>
    </xf>
    <xf numFmtId="2" fontId="7" fillId="10" borderId="8" xfId="0" applyNumberFormat="1" applyFont="1" applyFill="1" applyBorder="1" applyAlignment="1">
      <alignment horizontal="right"/>
    </xf>
    <xf numFmtId="0" fontId="10"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7" fillId="0" borderId="6" xfId="0" applyFont="1" applyBorder="1" applyAlignment="1">
      <alignment vertical="top" wrapText="1"/>
    </xf>
    <xf numFmtId="0" fontId="11" fillId="5" borderId="10" xfId="0" applyFont="1" applyFill="1" applyBorder="1" applyAlignment="1">
      <alignment vertical="top" wrapText="1" indent="1"/>
    </xf>
    <xf numFmtId="0" fontId="10" fillId="2" borderId="0" xfId="0" applyFont="1" applyFill="1" applyAlignment="1">
      <alignment horizontal="center" vertical="center" wrapText="1" indent="1"/>
    </xf>
    <xf numFmtId="0" fontId="0" fillId="7" borderId="6" xfId="0" applyFill="1" applyBorder="1" applyAlignment="1" applyProtection="1">
      <alignment horizontal="center" vertical="center"/>
      <protection locked="0"/>
    </xf>
    <xf numFmtId="0" fontId="6" fillId="3" borderId="2" xfId="0" applyFont="1" applyFill="1" applyBorder="1" applyAlignment="1" applyProtection="1">
      <alignment horizontal="center" vertical="center"/>
      <protection locked="0"/>
    </xf>
    <xf numFmtId="0" fontId="7" fillId="0" borderId="5" xfId="0" applyFont="1" applyBorder="1" applyAlignment="1">
      <alignment vertical="top" wrapText="1"/>
    </xf>
    <xf numFmtId="0" fontId="0" fillId="7" borderId="5" xfId="0" applyFill="1" applyBorder="1" applyAlignment="1" applyProtection="1">
      <alignment horizontal="center" vertical="center"/>
      <protection locked="0"/>
    </xf>
    <xf numFmtId="0" fontId="11" fillId="0" borderId="0" xfId="0" applyFont="1" applyAlignment="1">
      <alignment vertical="top" wrapText="1"/>
    </xf>
    <xf numFmtId="0" fontId="10" fillId="2" borderId="0" xfId="0" applyFont="1" applyFill="1" applyAlignment="1">
      <alignment vertical="center" wrapText="1" indent="1"/>
    </xf>
    <xf numFmtId="0" fontId="7" fillId="0" borderId="0" xfId="0" applyFont="1" applyAlignment="1">
      <alignment vertical="top" wrapText="1"/>
    </xf>
    <xf numFmtId="0" fontId="8" fillId="5" borderId="3" xfId="0" applyFont="1" applyFill="1" applyBorder="1" applyAlignment="1">
      <alignment vertical="center" indent="1"/>
    </xf>
    <xf numFmtId="0" fontId="9" fillId="6" borderId="4" xfId="0" applyFont="1" applyFill="1" applyBorder="1" applyAlignment="1">
      <alignment vertical="top" wrapText="1"/>
    </xf>
    <xf numFmtId="0" fontId="1" fillId="2" borderId="0" xfId="0" applyFont="1" applyFill="1" applyAlignment="1">
      <alignment horizontal="left" vertical="center"/>
    </xf>
    <xf numFmtId="0" fontId="3" fillId="3" borderId="1" xfId="0" applyFont="1" applyFill="1" applyBorder="1" applyAlignment="1">
      <alignment horizontal="left" vertical="center"/>
    </xf>
    <xf numFmtId="0" fontId="14" fillId="8" borderId="7" xfId="0" applyFont="1" applyFill="1" applyBorder="1" applyAlignment="1">
      <alignment vertical="top" wrapText="1"/>
    </xf>
    <xf numFmtId="0" fontId="0" fillId="7" borderId="5" xfId="0" applyFill="1" applyBorder="1" applyAlignment="1" applyProtection="1">
      <alignment vertical="top" wrapText="1"/>
      <protection locked="0"/>
    </xf>
    <xf numFmtId="0" fontId="16" fillId="11" borderId="9" xfId="0" applyFont="1" applyFill="1" applyBorder="1" applyAlignment="1">
      <alignment vertical="top" wrapText="1"/>
    </xf>
    <xf numFmtId="0" fontId="17" fillId="0" borderId="10" xfId="0" applyFont="1" applyBorder="1" applyAlignment="1">
      <alignment vertical="top" wrapText="1"/>
    </xf>
    <xf numFmtId="0" fontId="17" fillId="0" borderId="0" xfId="0" applyFont="1" applyAlignment="1">
      <alignment vertical="top" wrapText="1"/>
    </xf>
    <xf numFmtId="0" fontId="1" fillId="2" borderId="0" xfId="0" applyFont="1" applyFill="1" applyAlignment="1">
      <alignment vertical="center"/>
    </xf>
    <xf numFmtId="0" fontId="3" fillId="3" borderId="1" xfId="0" applyFont="1" applyFill="1" applyBorder="1" applyAlignment="1">
      <alignment vertical="center"/>
    </xf>
    <xf numFmtId="0" fontId="18" fillId="0" borderId="0" xfId="0" applyFont="1" applyAlignment="1">
      <alignment vertical="top" wrapText="1"/>
    </xf>
  </cellXfs>
  <cellStyles count="1">
    <cellStyle name="Normal" xfId="0" builtinId="0"/>
  </cellStyles>
  <dxfs count="6">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7F8C99"/>
      <rgbColor rgb="FF9999FF"/>
      <rgbColor rgb="FF7030A0"/>
      <rgbColor rgb="FFFFF3C4"/>
      <rgbColor rgb="FFEA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F6F6"/>
      <rgbColor rgb="FFC6EFCE"/>
      <rgbColor rgb="FFFDF4E3"/>
      <rgbColor rgb="FF9DC3C3"/>
      <rgbColor rgb="FFF2F7F7"/>
      <rgbColor rgb="FFE2E6EA"/>
      <rgbColor rgb="FFFFC7CE"/>
      <rgbColor rgb="FF2E75B6"/>
      <rgbColor rgb="FF33CCCC"/>
      <rgbColor rgb="FFBF8F00"/>
      <rgbColor rgb="FFFFCC00"/>
      <rgbColor rgb="FFE8A33D"/>
      <rgbColor rgb="FFC55A11"/>
      <rgbColor rgb="FF595959"/>
      <rgbColor rgb="FF8C8C8C"/>
      <rgbColor rgb="FF003366"/>
      <rgbColor rgb="FF2E8B8B"/>
      <rgbColor rgb="FF003300"/>
      <rgbColor rgb="FF5B4A1F"/>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079ED5-68CA-4BE6-B336-8AD0B13B1832}">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X1000"/>
  <sheetViews>
    <sheetView showGridLines="0" tabSelected="1" zoomScaleNormal="100" workbookViewId="0">
      <selection activeCell="G27" sqref="G27:H27"/>
    </sheetView>
  </sheetViews>
  <sheetFormatPr defaultColWidth="14.42578125" defaultRowHeight="15" x14ac:dyDescent="0.25"/>
  <cols>
    <col min="1" max="1" width="3" customWidth="1"/>
    <col min="2" max="2" width="26" customWidth="1"/>
    <col min="3" max="7" width="14" customWidth="1"/>
    <col min="8" max="8" width="18" customWidth="1"/>
    <col min="10" max="22" width="3.42578125" customWidth="1"/>
    <col min="24" max="24" width="12" customWidth="1"/>
  </cols>
  <sheetData>
    <row r="1" spans="1:24" ht="30" customHeight="1" x14ac:dyDescent="0.25">
      <c r="A1" s="33" t="s">
        <v>0</v>
      </c>
      <c r="B1" s="33"/>
      <c r="C1" s="33"/>
      <c r="D1" s="33"/>
      <c r="E1" s="33"/>
      <c r="F1" s="33"/>
      <c r="G1" s="33"/>
      <c r="H1" s="33"/>
      <c r="J1" s="2" t="s">
        <v>1</v>
      </c>
    </row>
    <row r="2" spans="1:24" ht="21.75" customHeight="1" x14ac:dyDescent="0.25">
      <c r="A2" s="34" t="s">
        <v>2</v>
      </c>
      <c r="B2" s="34"/>
      <c r="C2" s="34"/>
      <c r="D2" s="34"/>
      <c r="E2" s="34"/>
      <c r="F2" s="34"/>
      <c r="G2" s="34"/>
      <c r="H2" s="34"/>
      <c r="J2" s="3">
        <v>1</v>
      </c>
      <c r="K2" s="4">
        <v>2</v>
      </c>
      <c r="L2" s="4">
        <v>3</v>
      </c>
      <c r="M2" s="4">
        <v>4</v>
      </c>
      <c r="N2" s="4">
        <v>5</v>
      </c>
      <c r="O2" s="4">
        <v>6</v>
      </c>
      <c r="P2" s="4">
        <v>7</v>
      </c>
      <c r="Q2" s="4">
        <v>8</v>
      </c>
      <c r="R2" s="4">
        <v>9</v>
      </c>
      <c r="S2" s="4">
        <v>10</v>
      </c>
      <c r="T2" s="4">
        <v>11</v>
      </c>
      <c r="U2" s="4">
        <v>12</v>
      </c>
      <c r="V2" s="4">
        <v>13</v>
      </c>
      <c r="X2" s="5" t="s">
        <v>3</v>
      </c>
    </row>
    <row r="4" spans="1:24" ht="57.75" customHeight="1" x14ac:dyDescent="0.25">
      <c r="A4" s="30" t="s">
        <v>4</v>
      </c>
      <c r="B4" s="30"/>
      <c r="C4" s="30"/>
      <c r="D4" s="30"/>
      <c r="E4" s="30"/>
      <c r="F4" s="30"/>
      <c r="G4" s="30"/>
      <c r="H4" s="30"/>
    </row>
    <row r="6" spans="1:24" ht="24" customHeight="1" x14ac:dyDescent="0.25">
      <c r="A6" s="31" t="s">
        <v>5</v>
      </c>
      <c r="B6" s="31"/>
      <c r="C6" s="31"/>
      <c r="D6" s="31"/>
      <c r="E6" s="31"/>
      <c r="F6" s="31"/>
      <c r="G6" s="31"/>
      <c r="H6" s="31"/>
    </row>
    <row r="7" spans="1:24" ht="15.75" customHeight="1" x14ac:dyDescent="0.25">
      <c r="A7" s="30" t="s">
        <v>6</v>
      </c>
      <c r="B7" s="30"/>
      <c r="C7" s="30"/>
      <c r="D7" s="30"/>
      <c r="E7" s="30"/>
      <c r="F7" s="30"/>
      <c r="G7" s="30"/>
      <c r="H7" s="30"/>
    </row>
    <row r="8" spans="1:24" ht="15.75" customHeight="1" x14ac:dyDescent="0.25">
      <c r="A8" s="30" t="s">
        <v>7</v>
      </c>
      <c r="B8" s="30"/>
      <c r="C8" s="30"/>
      <c r="D8" s="30"/>
      <c r="E8" s="30"/>
      <c r="F8" s="30"/>
      <c r="G8" s="30"/>
      <c r="H8" s="30"/>
    </row>
    <row r="9" spans="1:24" ht="15.75" customHeight="1" x14ac:dyDescent="0.25">
      <c r="A9" s="30" t="s">
        <v>8</v>
      </c>
      <c r="B9" s="30"/>
      <c r="C9" s="30"/>
      <c r="D9" s="30"/>
      <c r="E9" s="30"/>
      <c r="F9" s="30"/>
      <c r="G9" s="30"/>
      <c r="H9" s="30"/>
    </row>
    <row r="10" spans="1:24" ht="15.75" customHeight="1" x14ac:dyDescent="0.25">
      <c r="A10" s="30" t="s">
        <v>9</v>
      </c>
      <c r="B10" s="30"/>
      <c r="C10" s="30"/>
      <c r="D10" s="30"/>
      <c r="E10" s="30"/>
      <c r="F10" s="30"/>
      <c r="G10" s="30"/>
      <c r="H10" s="30"/>
    </row>
    <row r="12" spans="1:24" ht="24" customHeight="1" x14ac:dyDescent="0.25">
      <c r="A12" s="31" t="s">
        <v>10</v>
      </c>
      <c r="B12" s="31"/>
      <c r="C12" s="31"/>
      <c r="D12" s="31"/>
      <c r="E12" s="31"/>
      <c r="F12" s="31"/>
      <c r="G12" s="31"/>
      <c r="H12" s="31"/>
    </row>
    <row r="13" spans="1:24" ht="15.75" customHeight="1" x14ac:dyDescent="0.25">
      <c r="A13" s="30" t="s">
        <v>11</v>
      </c>
      <c r="B13" s="30"/>
      <c r="C13" s="30"/>
      <c r="D13" s="30"/>
      <c r="E13" s="30"/>
      <c r="F13" s="30"/>
      <c r="G13" s="30"/>
      <c r="H13" s="30"/>
    </row>
    <row r="14" spans="1:24" ht="15.75" customHeight="1" x14ac:dyDescent="0.25">
      <c r="A14" s="30" t="s">
        <v>12</v>
      </c>
      <c r="B14" s="30"/>
      <c r="C14" s="30"/>
      <c r="D14" s="30"/>
      <c r="E14" s="30"/>
      <c r="F14" s="30"/>
      <c r="G14" s="30"/>
      <c r="H14" s="30"/>
    </row>
    <row r="16" spans="1:24" ht="24" customHeight="1" x14ac:dyDescent="0.25">
      <c r="A16" s="31" t="s">
        <v>13</v>
      </c>
      <c r="B16" s="31"/>
      <c r="C16" s="31"/>
      <c r="D16" s="31"/>
      <c r="E16" s="31"/>
      <c r="F16" s="31"/>
      <c r="G16" s="31"/>
      <c r="H16" s="31"/>
    </row>
    <row r="17" spans="1:8" ht="15" customHeight="1" x14ac:dyDescent="0.25">
      <c r="B17" s="32" t="s">
        <v>14</v>
      </c>
      <c r="C17" s="32"/>
      <c r="D17" s="32"/>
      <c r="E17" s="32"/>
      <c r="F17" s="32"/>
      <c r="G17" s="32"/>
      <c r="H17" s="32"/>
    </row>
    <row r="18" spans="1:8" ht="15" customHeight="1" x14ac:dyDescent="0.25">
      <c r="B18" s="32"/>
      <c r="C18" s="32"/>
      <c r="D18" s="32"/>
      <c r="E18" s="32"/>
      <c r="F18" s="32"/>
      <c r="G18" s="32"/>
      <c r="H18" s="32"/>
    </row>
    <row r="19" spans="1:8" ht="15" customHeight="1" x14ac:dyDescent="0.25">
      <c r="B19" s="32"/>
      <c r="C19" s="32"/>
      <c r="D19" s="32"/>
      <c r="E19" s="32"/>
      <c r="F19" s="32"/>
      <c r="G19" s="32"/>
      <c r="H19" s="32"/>
    </row>
    <row r="21" spans="1:8" ht="24" customHeight="1" x14ac:dyDescent="0.25">
      <c r="A21" s="31" t="s">
        <v>15</v>
      </c>
      <c r="B21" s="31"/>
      <c r="C21" s="31"/>
      <c r="D21" s="31"/>
      <c r="E21" s="31"/>
      <c r="F21" s="31"/>
      <c r="G21" s="31"/>
      <c r="H21" s="31"/>
    </row>
    <row r="22" spans="1:8" ht="27.75" customHeight="1" x14ac:dyDescent="0.25">
      <c r="A22" s="30" t="s">
        <v>16</v>
      </c>
      <c r="B22" s="30"/>
      <c r="C22" s="30"/>
      <c r="D22" s="30"/>
      <c r="E22" s="30"/>
      <c r="F22" s="30"/>
      <c r="G22" s="30"/>
      <c r="H22" s="30"/>
    </row>
    <row r="23" spans="1:8" ht="18" customHeight="1" x14ac:dyDescent="0.25">
      <c r="B23" s="29" t="s">
        <v>17</v>
      </c>
      <c r="C23" s="29"/>
      <c r="D23" s="29"/>
      <c r="E23" s="29"/>
      <c r="F23" s="29"/>
      <c r="G23" s="6" t="s">
        <v>18</v>
      </c>
    </row>
    <row r="24" spans="1:8" ht="15" customHeight="1" x14ac:dyDescent="0.25">
      <c r="B24" s="26" t="s">
        <v>19</v>
      </c>
      <c r="C24" s="26"/>
      <c r="D24" s="26"/>
      <c r="E24" s="26"/>
      <c r="F24" s="26"/>
      <c r="G24" s="27"/>
      <c r="H24" s="27"/>
    </row>
    <row r="25" spans="1:8" ht="15" customHeight="1" x14ac:dyDescent="0.25">
      <c r="B25" s="26" t="s">
        <v>20</v>
      </c>
      <c r="C25" s="26"/>
      <c r="D25" s="26"/>
      <c r="E25" s="26"/>
      <c r="F25" s="26"/>
      <c r="G25" s="27"/>
      <c r="H25" s="27"/>
    </row>
    <row r="26" spans="1:8" ht="15" customHeight="1" x14ac:dyDescent="0.25">
      <c r="B26" s="26" t="s">
        <v>21</v>
      </c>
      <c r="C26" s="26"/>
      <c r="D26" s="26"/>
      <c r="E26" s="26"/>
      <c r="F26" s="26"/>
      <c r="G26" s="27"/>
      <c r="H26" s="27"/>
    </row>
    <row r="27" spans="1:8" ht="15" customHeight="1" x14ac:dyDescent="0.25">
      <c r="B27" s="26" t="s">
        <v>22</v>
      </c>
      <c r="C27" s="26"/>
      <c r="D27" s="26"/>
      <c r="E27" s="26"/>
      <c r="F27" s="26"/>
      <c r="G27" s="27"/>
      <c r="H27" s="27"/>
    </row>
    <row r="28" spans="1:8" ht="15.75" customHeight="1" x14ac:dyDescent="0.25"/>
    <row r="29" spans="1:8" ht="19.5" customHeight="1" x14ac:dyDescent="0.25">
      <c r="A29" s="28" t="s">
        <v>23</v>
      </c>
      <c r="B29" s="28"/>
      <c r="C29" s="28"/>
      <c r="D29" s="28"/>
      <c r="E29" s="28"/>
      <c r="F29" s="28"/>
      <c r="G29" s="28"/>
      <c r="H29" s="28"/>
    </row>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5">
    <mergeCell ref="A1:H1"/>
    <mergeCell ref="A2:H2"/>
    <mergeCell ref="A4:H4"/>
    <mergeCell ref="A6:H6"/>
    <mergeCell ref="A7:H7"/>
    <mergeCell ref="A8:H8"/>
    <mergeCell ref="A9:H9"/>
    <mergeCell ref="A10:H10"/>
    <mergeCell ref="A12:H12"/>
    <mergeCell ref="A13:H13"/>
    <mergeCell ref="A14:H14"/>
    <mergeCell ref="A16:H16"/>
    <mergeCell ref="B17:H19"/>
    <mergeCell ref="A21:H21"/>
    <mergeCell ref="A22:H22"/>
    <mergeCell ref="B23:F23"/>
    <mergeCell ref="B24:F24"/>
    <mergeCell ref="G24:H24"/>
    <mergeCell ref="B25:F25"/>
    <mergeCell ref="G25:H25"/>
    <mergeCell ref="B26:F26"/>
    <mergeCell ref="G26:H26"/>
    <mergeCell ref="B27:F27"/>
    <mergeCell ref="G27:H27"/>
    <mergeCell ref="A29:H29"/>
  </mergeCells>
  <hyperlinks>
    <hyperlink ref="X2" location="'The EPA Explained'!A1" display="Next  ▶" xr:uid="{00000000-0004-0000-0000-00000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J1000"/>
  <sheetViews>
    <sheetView showGridLines="0" zoomScaleNormal="100" workbookViewId="0">
      <selection activeCell="D24" sqref="D24"/>
    </sheetView>
  </sheetViews>
  <sheetFormatPr defaultColWidth="14.42578125" defaultRowHeight="15" x14ac:dyDescent="0.25"/>
  <cols>
    <col min="1" max="1" width="3" customWidth="1"/>
    <col min="2" max="2" width="40" customWidth="1"/>
    <col min="3" max="3" width="12" customWidth="1"/>
    <col min="4" max="4" width="16" customWidth="1"/>
    <col min="5" max="5" width="18" customWidth="1"/>
    <col min="6" max="8" width="14" customWidth="1"/>
    <col min="9" max="9" width="1.5703125" customWidth="1"/>
    <col min="10" max="10" width="52" customWidth="1"/>
  </cols>
  <sheetData>
    <row r="1" spans="1:10" ht="30" customHeight="1" x14ac:dyDescent="0.25">
      <c r="A1" s="33" t="s">
        <v>24</v>
      </c>
      <c r="B1" s="33"/>
      <c r="C1" s="33"/>
      <c r="D1" s="33"/>
      <c r="E1" s="33"/>
      <c r="F1" s="33"/>
      <c r="G1" s="33"/>
      <c r="H1" s="33"/>
      <c r="J1" s="5" t="s">
        <v>3</v>
      </c>
    </row>
    <row r="2" spans="1:10" ht="21.75" customHeight="1" x14ac:dyDescent="0.25">
      <c r="A2" s="34" t="s">
        <v>25</v>
      </c>
      <c r="B2" s="34"/>
      <c r="C2" s="34"/>
      <c r="D2" s="34"/>
      <c r="E2" s="34"/>
      <c r="F2" s="34"/>
      <c r="G2" s="34"/>
      <c r="H2" s="34"/>
    </row>
    <row r="4" spans="1:10" ht="43.5" customHeight="1" x14ac:dyDescent="0.25">
      <c r="A4" s="30" t="s">
        <v>26</v>
      </c>
      <c r="B4" s="30"/>
      <c r="C4" s="30"/>
      <c r="D4" s="30"/>
      <c r="E4" s="30"/>
      <c r="F4" s="30"/>
      <c r="G4" s="30"/>
      <c r="H4" s="30"/>
    </row>
    <row r="6" spans="1:10" ht="24" customHeight="1" x14ac:dyDescent="0.25">
      <c r="A6" s="31" t="s">
        <v>27</v>
      </c>
      <c r="B6" s="31"/>
      <c r="C6" s="31"/>
      <c r="D6" s="31"/>
      <c r="E6" s="31"/>
      <c r="F6" s="31"/>
      <c r="G6" s="31"/>
      <c r="H6" s="31"/>
    </row>
    <row r="7" spans="1:10" ht="30" customHeight="1" x14ac:dyDescent="0.25">
      <c r="B7" s="7" t="s">
        <v>28</v>
      </c>
      <c r="C7" s="26" t="s">
        <v>29</v>
      </c>
      <c r="D7" s="26"/>
      <c r="E7" s="26"/>
      <c r="F7" s="26"/>
      <c r="G7" s="26"/>
      <c r="H7" s="26"/>
    </row>
    <row r="8" spans="1:10" ht="30" customHeight="1" x14ac:dyDescent="0.25">
      <c r="B8" s="7" t="s">
        <v>30</v>
      </c>
      <c r="C8" s="26" t="s">
        <v>31</v>
      </c>
      <c r="D8" s="26"/>
      <c r="E8" s="26"/>
      <c r="F8" s="26"/>
      <c r="G8" s="26"/>
      <c r="H8" s="26"/>
    </row>
    <row r="9" spans="1:10" ht="30" customHeight="1" x14ac:dyDescent="0.25">
      <c r="B9" s="7" t="s">
        <v>32</v>
      </c>
      <c r="C9" s="26" t="s">
        <v>33</v>
      </c>
      <c r="D9" s="26"/>
      <c r="E9" s="26"/>
      <c r="F9" s="26"/>
      <c r="G9" s="26"/>
      <c r="H9" s="26"/>
    </row>
    <row r="10" spans="1:10" ht="30" customHeight="1" x14ac:dyDescent="0.25">
      <c r="B10" s="7" t="s">
        <v>34</v>
      </c>
      <c r="C10" s="26" t="s">
        <v>35</v>
      </c>
      <c r="D10" s="26"/>
      <c r="E10" s="26"/>
      <c r="F10" s="26"/>
      <c r="G10" s="26"/>
      <c r="H10" s="26"/>
    </row>
    <row r="11" spans="1:10" ht="30" customHeight="1" x14ac:dyDescent="0.25">
      <c r="B11" s="7" t="s">
        <v>36</v>
      </c>
      <c r="C11" s="26" t="s">
        <v>37</v>
      </c>
      <c r="D11" s="26"/>
      <c r="E11" s="26"/>
      <c r="F11" s="26"/>
      <c r="G11" s="26"/>
      <c r="H11" s="26"/>
    </row>
    <row r="12" spans="1:10" ht="30" customHeight="1" x14ac:dyDescent="0.25">
      <c r="B12" s="7" t="s">
        <v>38</v>
      </c>
      <c r="C12" s="26" t="s">
        <v>39</v>
      </c>
      <c r="D12" s="26"/>
      <c r="E12" s="26"/>
      <c r="F12" s="26"/>
      <c r="G12" s="26"/>
      <c r="H12" s="26"/>
    </row>
    <row r="14" spans="1:10" ht="24" customHeight="1" x14ac:dyDescent="0.25">
      <c r="A14" s="31" t="s">
        <v>40</v>
      </c>
      <c r="B14" s="31"/>
      <c r="C14" s="31"/>
      <c r="D14" s="31"/>
      <c r="E14" s="31"/>
      <c r="F14" s="31"/>
      <c r="G14" s="31"/>
      <c r="H14" s="31"/>
    </row>
    <row r="15" spans="1:10" ht="18" customHeight="1" x14ac:dyDescent="0.25">
      <c r="B15" s="30" t="s">
        <v>41</v>
      </c>
      <c r="C15" s="30"/>
      <c r="D15" s="30"/>
      <c r="E15" s="30"/>
      <c r="F15" s="30"/>
      <c r="G15" s="30"/>
      <c r="H15" s="30"/>
    </row>
    <row r="16" spans="1:10" ht="18" customHeight="1" x14ac:dyDescent="0.25">
      <c r="B16" s="30" t="s">
        <v>42</v>
      </c>
      <c r="C16" s="30"/>
      <c r="D16" s="30"/>
      <c r="E16" s="30"/>
      <c r="F16" s="30"/>
      <c r="G16" s="30"/>
      <c r="H16" s="30"/>
    </row>
    <row r="17" spans="1:10" ht="18" customHeight="1" x14ac:dyDescent="0.25">
      <c r="B17" s="30" t="s">
        <v>43</v>
      </c>
      <c r="C17" s="30"/>
      <c r="D17" s="30"/>
      <c r="E17" s="30"/>
      <c r="F17" s="30"/>
      <c r="G17" s="30"/>
      <c r="H17" s="30"/>
    </row>
    <row r="18" spans="1:10" ht="18" customHeight="1" x14ac:dyDescent="0.25">
      <c r="B18" s="30" t="s">
        <v>44</v>
      </c>
      <c r="C18" s="30"/>
      <c r="D18" s="30"/>
      <c r="E18" s="30"/>
      <c r="F18" s="30"/>
      <c r="G18" s="30"/>
      <c r="H18" s="30"/>
    </row>
    <row r="19" spans="1:10" ht="18" customHeight="1" x14ac:dyDescent="0.25">
      <c r="B19" s="30" t="s">
        <v>45</v>
      </c>
      <c r="C19" s="30"/>
      <c r="D19" s="30"/>
      <c r="E19" s="30"/>
      <c r="F19" s="30"/>
      <c r="G19" s="30"/>
      <c r="H19" s="30"/>
    </row>
    <row r="20" spans="1:10" ht="18" customHeight="1" x14ac:dyDescent="0.25">
      <c r="B20" s="30" t="s">
        <v>46</v>
      </c>
      <c r="C20" s="30"/>
      <c r="D20" s="30"/>
      <c r="E20" s="30"/>
      <c r="F20" s="30"/>
      <c r="G20" s="30"/>
      <c r="H20" s="30"/>
    </row>
    <row r="21" spans="1:10" ht="15.75" customHeight="1" x14ac:dyDescent="0.25"/>
    <row r="22" spans="1:10" ht="24" customHeight="1" x14ac:dyDescent="0.25">
      <c r="A22" s="31" t="s">
        <v>47</v>
      </c>
      <c r="B22" s="31"/>
      <c r="C22" s="31"/>
      <c r="D22" s="31"/>
      <c r="E22" s="31"/>
      <c r="F22" s="31"/>
      <c r="G22" s="31"/>
      <c r="H22" s="31"/>
    </row>
    <row r="23" spans="1:10" ht="18" customHeight="1" x14ac:dyDescent="0.25">
      <c r="B23" s="29" t="s">
        <v>48</v>
      </c>
      <c r="C23" s="29"/>
      <c r="D23" s="6" t="s">
        <v>49</v>
      </c>
      <c r="E23" s="6" t="s">
        <v>50</v>
      </c>
      <c r="J23" s="8" t="s">
        <v>51</v>
      </c>
    </row>
    <row r="24" spans="1:10" ht="27.75" customHeight="1" x14ac:dyDescent="0.25">
      <c r="B24" s="26" t="s">
        <v>52</v>
      </c>
      <c r="C24" s="26"/>
      <c r="D24" s="24"/>
      <c r="E24" s="9" t="str">
        <f>IF(D24="","",IFERROR(IF(ABS(D24-2)&lt;0.01,"✓  Correct","✗  Try again"),"✗  Try again"))</f>
        <v/>
      </c>
      <c r="J24" s="35" t="s">
        <v>53</v>
      </c>
    </row>
    <row r="25" spans="1:10" ht="27.75" customHeight="1" x14ac:dyDescent="0.25">
      <c r="B25" s="26" t="s">
        <v>54</v>
      </c>
      <c r="C25" s="26"/>
      <c r="D25" s="24"/>
      <c r="E25" s="9" t="str">
        <f>IF(D25="","",IFERROR(IF(ABS(D25-45)&lt;0.01,"✓  Correct","✗  Try again"),"✗  Try again"))</f>
        <v/>
      </c>
      <c r="J25" s="35"/>
    </row>
    <row r="26" spans="1:10" ht="27.75" customHeight="1" x14ac:dyDescent="0.25">
      <c r="B26" s="26" t="s">
        <v>55</v>
      </c>
      <c r="C26" s="26"/>
      <c r="D26" s="24"/>
      <c r="E26" s="9" t="str">
        <f>IF(D26="","",IFERROR(IF(ABS(D26-90)&lt;0.01,"✓  Correct","✗  Try again"),"✗  Try again"))</f>
        <v/>
      </c>
      <c r="J26" s="35"/>
    </row>
    <row r="27" spans="1:10" ht="27.75" customHeight="1" x14ac:dyDescent="0.25">
      <c r="B27" s="26" t="s">
        <v>56</v>
      </c>
      <c r="C27" s="26"/>
      <c r="D27" s="24"/>
      <c r="E27" s="9" t="str">
        <f>IF(D27="","",IFERROR(IF(ABS(D27-10)&lt;0.01,"✓  Correct","✗  Try again"),"✗  Try again"))</f>
        <v/>
      </c>
      <c r="J27" s="35"/>
    </row>
    <row r="28" spans="1:10" ht="27.75" customHeight="1" x14ac:dyDescent="0.25">
      <c r="B28" s="26" t="s">
        <v>57</v>
      </c>
      <c r="C28" s="26"/>
      <c r="D28" s="24"/>
      <c r="E28" s="9" t="str">
        <f>IF(D28="","",IFERROR(IF(ABS(D28-3)&lt;0.01,"✓  Correct","✗  Try again"),"✗  Try again"))</f>
        <v/>
      </c>
      <c r="J28" s="35"/>
    </row>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5">
    <mergeCell ref="A1:H1"/>
    <mergeCell ref="A2:H2"/>
    <mergeCell ref="A4:H4"/>
    <mergeCell ref="A6:H6"/>
    <mergeCell ref="C7:H7"/>
    <mergeCell ref="C8:H8"/>
    <mergeCell ref="C9:H9"/>
    <mergeCell ref="C10:H10"/>
    <mergeCell ref="C11:H11"/>
    <mergeCell ref="C12:H12"/>
    <mergeCell ref="A14:H14"/>
    <mergeCell ref="B15:H15"/>
    <mergeCell ref="B16:H16"/>
    <mergeCell ref="B17:H17"/>
    <mergeCell ref="B18:H18"/>
    <mergeCell ref="B19:H19"/>
    <mergeCell ref="B20:H20"/>
    <mergeCell ref="A22:H22"/>
    <mergeCell ref="B23:C23"/>
    <mergeCell ref="B24:C24"/>
    <mergeCell ref="J24:J28"/>
    <mergeCell ref="B25:C25"/>
    <mergeCell ref="B26:C26"/>
    <mergeCell ref="B27:C27"/>
    <mergeCell ref="B28:C28"/>
  </mergeCells>
  <conditionalFormatting sqref="E24:E28">
    <cfRule type="expression" dxfId="5" priority="2">
      <formula>ISNUMBER(SEARCH("Correct",E24))</formula>
    </cfRule>
    <cfRule type="expression" dxfId="4" priority="3">
      <formula>ISNUMBER(SEARCH("Try",E24))</formula>
    </cfRule>
  </conditionalFormatting>
  <hyperlinks>
    <hyperlink ref="J1" location="'Members'!A1" display="Next  ▶"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99"/>
  </sheetPr>
  <dimension ref="A1:J1000"/>
  <sheetViews>
    <sheetView showGridLines="0" zoomScaleNormal="100" workbookViewId="0">
      <pane ySplit="4" topLeftCell="A5" activePane="bottomLeft" state="frozen"/>
      <selection pane="bottomLeft" activeCell="J1" sqref="J1"/>
    </sheetView>
  </sheetViews>
  <sheetFormatPr defaultColWidth="14.42578125" defaultRowHeight="15" x14ac:dyDescent="0.25"/>
  <cols>
    <col min="1" max="1" width="11" customWidth="1"/>
    <col min="2" max="2" width="17" customWidth="1"/>
    <col min="3" max="3" width="13" customWidth="1"/>
    <col min="4" max="4" width="17" customWidth="1"/>
    <col min="5" max="5" width="28" customWidth="1"/>
    <col min="6" max="12" width="8.7109375" customWidth="1"/>
  </cols>
  <sheetData>
    <row r="1" spans="1:10" ht="30" customHeight="1" x14ac:dyDescent="0.25">
      <c r="A1" s="33" t="s">
        <v>58</v>
      </c>
      <c r="B1" s="33"/>
      <c r="C1" s="33"/>
      <c r="D1" s="33"/>
      <c r="E1" s="33"/>
      <c r="J1" s="25" t="s">
        <v>3</v>
      </c>
    </row>
    <row r="2" spans="1:10" ht="21.75" customHeight="1" x14ac:dyDescent="0.25">
      <c r="A2" s="34" t="s">
        <v>59</v>
      </c>
      <c r="B2" s="34"/>
      <c r="C2" s="34"/>
      <c r="D2" s="34"/>
      <c r="E2" s="34"/>
    </row>
    <row r="4" spans="1:10" ht="19.5" customHeight="1" x14ac:dyDescent="0.25">
      <c r="A4" s="10" t="s">
        <v>60</v>
      </c>
      <c r="B4" s="10" t="s">
        <v>61</v>
      </c>
      <c r="C4" s="10" t="s">
        <v>62</v>
      </c>
      <c r="D4" s="10" t="s">
        <v>63</v>
      </c>
      <c r="E4" s="10" t="s">
        <v>64</v>
      </c>
    </row>
    <row r="5" spans="1:10" ht="15" customHeight="1" x14ac:dyDescent="0.25">
      <c r="A5" s="11">
        <v>1001</v>
      </c>
      <c r="B5" s="12" t="s">
        <v>65</v>
      </c>
      <c r="C5" s="13">
        <v>44267</v>
      </c>
      <c r="D5" s="12" t="s">
        <v>66</v>
      </c>
      <c r="E5" s="12" t="s">
        <v>67</v>
      </c>
    </row>
    <row r="6" spans="1:10" ht="15" customHeight="1" x14ac:dyDescent="0.25">
      <c r="A6" s="14">
        <v>1002</v>
      </c>
      <c r="B6" s="15" t="s">
        <v>68</v>
      </c>
      <c r="C6" s="16">
        <v>44013</v>
      </c>
      <c r="D6" s="15" t="s">
        <v>69</v>
      </c>
      <c r="E6" s="15" t="s">
        <v>70</v>
      </c>
    </row>
    <row r="7" spans="1:10" ht="15" customHeight="1" x14ac:dyDescent="0.25">
      <c r="A7" s="11">
        <v>1003</v>
      </c>
      <c r="B7" s="12" t="s">
        <v>71</v>
      </c>
      <c r="C7" s="13">
        <v>44579</v>
      </c>
      <c r="D7" s="12" t="s">
        <v>72</v>
      </c>
      <c r="E7" s="12" t="s">
        <v>73</v>
      </c>
    </row>
    <row r="8" spans="1:10" ht="15" customHeight="1" x14ac:dyDescent="0.25">
      <c r="A8" s="14">
        <v>1004</v>
      </c>
      <c r="B8" s="15" t="s">
        <v>74</v>
      </c>
      <c r="C8" s="16">
        <v>43774</v>
      </c>
      <c r="D8" s="15" t="s">
        <v>75</v>
      </c>
      <c r="E8" s="15" t="s">
        <v>76</v>
      </c>
    </row>
    <row r="9" spans="1:10" ht="15" customHeight="1" x14ac:dyDescent="0.25">
      <c r="A9" s="11">
        <v>1005</v>
      </c>
      <c r="B9" s="12" t="s">
        <v>77</v>
      </c>
      <c r="C9" s="13">
        <v>44966</v>
      </c>
      <c r="D9" s="12" t="s">
        <v>66</v>
      </c>
      <c r="E9" s="12" t="s">
        <v>78</v>
      </c>
    </row>
    <row r="10" spans="1:10" ht="15" customHeight="1" x14ac:dyDescent="0.25">
      <c r="A10" s="14">
        <v>1006</v>
      </c>
      <c r="B10" s="15" t="s">
        <v>79</v>
      </c>
      <c r="C10" s="16">
        <v>44462</v>
      </c>
      <c r="D10" s="15" t="s">
        <v>66</v>
      </c>
      <c r="E10" s="15" t="s">
        <v>80</v>
      </c>
    </row>
    <row r="11" spans="1:10" ht="15" customHeight="1" x14ac:dyDescent="0.25">
      <c r="A11" s="11">
        <v>1007</v>
      </c>
      <c r="B11" s="12" t="s">
        <v>81</v>
      </c>
      <c r="C11" s="13">
        <v>44742</v>
      </c>
      <c r="D11" s="12" t="s">
        <v>69</v>
      </c>
      <c r="E11" s="12" t="s">
        <v>82</v>
      </c>
    </row>
    <row r="12" spans="1:10" ht="15" customHeight="1" x14ac:dyDescent="0.25">
      <c r="A12" s="14">
        <v>1008</v>
      </c>
      <c r="B12" s="15" t="s">
        <v>83</v>
      </c>
      <c r="C12" s="16">
        <v>43935</v>
      </c>
      <c r="D12" s="15" t="s">
        <v>72</v>
      </c>
      <c r="E12" s="15" t="s">
        <v>84</v>
      </c>
    </row>
    <row r="13" spans="1:10" ht="15" customHeight="1" x14ac:dyDescent="0.25">
      <c r="A13" s="11">
        <v>1009</v>
      </c>
      <c r="B13" s="12" t="s">
        <v>85</v>
      </c>
      <c r="C13" s="13">
        <v>45140</v>
      </c>
      <c r="D13" s="12" t="s">
        <v>66</v>
      </c>
      <c r="E13" s="12" t="s">
        <v>86</v>
      </c>
    </row>
    <row r="14" spans="1:10" ht="15" customHeight="1" x14ac:dyDescent="0.25">
      <c r="A14" s="14">
        <v>1010</v>
      </c>
      <c r="B14" s="15" t="s">
        <v>87</v>
      </c>
      <c r="C14" s="16">
        <v>43435</v>
      </c>
      <c r="D14" s="15" t="s">
        <v>75</v>
      </c>
      <c r="E14" s="15" t="s">
        <v>88</v>
      </c>
    </row>
    <row r="15" spans="1:10" ht="15" customHeight="1" x14ac:dyDescent="0.25">
      <c r="A15" s="11">
        <v>1011</v>
      </c>
      <c r="B15" s="12" t="s">
        <v>89</v>
      </c>
      <c r="C15" s="13">
        <v>44637</v>
      </c>
      <c r="D15" s="12" t="s">
        <v>66</v>
      </c>
      <c r="E15" s="12" t="s">
        <v>90</v>
      </c>
    </row>
    <row r="16" spans="1:10" ht="15" customHeight="1" x14ac:dyDescent="0.25">
      <c r="A16" s="14">
        <v>1012</v>
      </c>
      <c r="B16" s="15" t="s">
        <v>91</v>
      </c>
      <c r="C16" s="16">
        <v>44324</v>
      </c>
      <c r="D16" s="15" t="s">
        <v>69</v>
      </c>
      <c r="E16" s="15" t="s">
        <v>92</v>
      </c>
    </row>
    <row r="17" spans="1:5" ht="15" customHeight="1" x14ac:dyDescent="0.25">
      <c r="A17" s="11">
        <v>1013</v>
      </c>
      <c r="B17" s="12" t="s">
        <v>93</v>
      </c>
      <c r="C17" s="13">
        <v>44955</v>
      </c>
      <c r="D17" s="12" t="s">
        <v>72</v>
      </c>
      <c r="E17" s="12" t="s">
        <v>94</v>
      </c>
    </row>
    <row r="18" spans="1:5" ht="15" customHeight="1" x14ac:dyDescent="0.25">
      <c r="A18" s="14">
        <v>1014</v>
      </c>
      <c r="B18" s="15" t="s">
        <v>95</v>
      </c>
      <c r="C18" s="16">
        <v>44115</v>
      </c>
      <c r="D18" s="15" t="s">
        <v>66</v>
      </c>
      <c r="E18" s="15" t="s">
        <v>96</v>
      </c>
    </row>
    <row r="19" spans="1:5" ht="15" customHeight="1" x14ac:dyDescent="0.25">
      <c r="A19" s="11">
        <v>1015</v>
      </c>
      <c r="B19" s="12" t="s">
        <v>97</v>
      </c>
      <c r="C19" s="13">
        <v>44869</v>
      </c>
      <c r="D19" s="12" t="s">
        <v>66</v>
      </c>
      <c r="E19" s="12" t="s">
        <v>98</v>
      </c>
    </row>
    <row r="20" spans="1:5" ht="15" customHeight="1" x14ac:dyDescent="0.25">
      <c r="A20" s="14">
        <v>1016</v>
      </c>
      <c r="B20" s="15" t="s">
        <v>99</v>
      </c>
      <c r="C20" s="16">
        <v>43638</v>
      </c>
      <c r="D20" s="15" t="s">
        <v>75</v>
      </c>
      <c r="E20" s="15" t="s">
        <v>100</v>
      </c>
    </row>
    <row r="21" spans="1:5" ht="15.75" customHeight="1" x14ac:dyDescent="0.25">
      <c r="A21" s="11">
        <v>1017</v>
      </c>
      <c r="B21" s="12" t="s">
        <v>101</v>
      </c>
      <c r="C21" s="13">
        <v>45035</v>
      </c>
      <c r="D21" s="12" t="s">
        <v>66</v>
      </c>
      <c r="E21" s="12" t="s">
        <v>102</v>
      </c>
    </row>
    <row r="22" spans="1:5" ht="15.75" customHeight="1" x14ac:dyDescent="0.25">
      <c r="A22" s="14">
        <v>1018</v>
      </c>
      <c r="B22" s="15" t="s">
        <v>103</v>
      </c>
      <c r="C22" s="16">
        <v>44229</v>
      </c>
      <c r="D22" s="15" t="s">
        <v>69</v>
      </c>
      <c r="E22" s="15" t="s">
        <v>104</v>
      </c>
    </row>
    <row r="23" spans="1:5" ht="15.75" customHeight="1" x14ac:dyDescent="0.25">
      <c r="A23" s="11">
        <v>1019</v>
      </c>
      <c r="B23" s="12" t="s">
        <v>105</v>
      </c>
      <c r="C23" s="13">
        <v>44819</v>
      </c>
      <c r="D23" s="12" t="s">
        <v>72</v>
      </c>
      <c r="E23" s="12" t="s">
        <v>106</v>
      </c>
    </row>
    <row r="24" spans="1:5" ht="15.75" customHeight="1" x14ac:dyDescent="0.25">
      <c r="A24" s="14">
        <v>1020</v>
      </c>
      <c r="B24" s="15" t="s">
        <v>107</v>
      </c>
      <c r="C24" s="16">
        <v>43837</v>
      </c>
      <c r="D24" s="15" t="s">
        <v>66</v>
      </c>
      <c r="E24" s="15" t="s">
        <v>108</v>
      </c>
    </row>
    <row r="25" spans="1:5" ht="15.75" customHeight="1" x14ac:dyDescent="0.25">
      <c r="A25" s="11">
        <v>1021</v>
      </c>
      <c r="B25" s="12" t="s">
        <v>109</v>
      </c>
      <c r="C25" s="13">
        <v>45072</v>
      </c>
      <c r="D25" s="12" t="s">
        <v>66</v>
      </c>
      <c r="E25" s="12" t="s">
        <v>110</v>
      </c>
    </row>
    <row r="26" spans="1:5" ht="15.75" customHeight="1" x14ac:dyDescent="0.25">
      <c r="A26" s="14">
        <v>1022</v>
      </c>
      <c r="B26" s="15" t="s">
        <v>111</v>
      </c>
      <c r="C26" s="16">
        <v>44390</v>
      </c>
      <c r="D26" s="15" t="s">
        <v>75</v>
      </c>
      <c r="E26" s="15"/>
    </row>
    <row r="27" spans="1:5" ht="15.75" customHeight="1" x14ac:dyDescent="0.25">
      <c r="A27" s="11">
        <v>1023</v>
      </c>
      <c r="B27" s="12" t="s">
        <v>112</v>
      </c>
      <c r="C27" s="13">
        <v>44620</v>
      </c>
      <c r="D27" s="12" t="s">
        <v>113</v>
      </c>
      <c r="E27" s="12" t="s">
        <v>114</v>
      </c>
    </row>
    <row r="28" spans="1:5" ht="15.75" customHeight="1" x14ac:dyDescent="0.25">
      <c r="A28" s="14">
        <v>1024</v>
      </c>
      <c r="B28" s="15" t="s">
        <v>68</v>
      </c>
      <c r="C28" s="16">
        <v>44013</v>
      </c>
      <c r="D28" s="15" t="s">
        <v>69</v>
      </c>
      <c r="E28" s="15" t="s">
        <v>70</v>
      </c>
    </row>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autoFilter ref="A4:E28" xr:uid="{00000000-0009-0000-0000-000002000000}"/>
  <mergeCells count="2">
    <mergeCell ref="A1:E1"/>
    <mergeCell ref="A2:E2"/>
  </mergeCells>
  <hyperlinks>
    <hyperlink ref="J1" location="'Bookings'!A1" display="Next  ▶"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99"/>
  </sheetPr>
  <dimension ref="A1:J1000"/>
  <sheetViews>
    <sheetView showGridLines="0" zoomScaleNormal="100" workbookViewId="0">
      <pane ySplit="4" topLeftCell="A5" activePane="bottomLeft" state="frozen"/>
      <selection pane="bottomLeft" activeCell="J1" sqref="J1"/>
    </sheetView>
  </sheetViews>
  <sheetFormatPr defaultColWidth="14.42578125" defaultRowHeight="15" x14ac:dyDescent="0.25"/>
  <cols>
    <col min="1" max="1" width="12" customWidth="1"/>
    <col min="2" max="4" width="11" customWidth="1"/>
    <col min="5" max="5" width="15" customWidth="1"/>
    <col min="6" max="12" width="8.7109375" customWidth="1"/>
  </cols>
  <sheetData>
    <row r="1" spans="1:10" ht="30" customHeight="1" x14ac:dyDescent="0.25">
      <c r="A1" s="33" t="s">
        <v>115</v>
      </c>
      <c r="B1" s="33"/>
      <c r="C1" s="33"/>
      <c r="D1" s="33"/>
      <c r="E1" s="33"/>
      <c r="J1" s="25" t="s">
        <v>3</v>
      </c>
    </row>
    <row r="2" spans="1:10" ht="21.75" customHeight="1" x14ac:dyDescent="0.25">
      <c r="A2" s="34" t="s">
        <v>116</v>
      </c>
      <c r="B2" s="34"/>
      <c r="C2" s="34"/>
      <c r="D2" s="34"/>
      <c r="E2" s="34"/>
    </row>
    <row r="4" spans="1:10" ht="19.5" customHeight="1" x14ac:dyDescent="0.25">
      <c r="A4" s="10" t="s">
        <v>117</v>
      </c>
      <c r="B4" s="10" t="s">
        <v>60</v>
      </c>
      <c r="C4" s="10" t="s">
        <v>118</v>
      </c>
      <c r="D4" s="10" t="s">
        <v>119</v>
      </c>
      <c r="E4" s="10" t="s">
        <v>120</v>
      </c>
    </row>
    <row r="5" spans="1:10" ht="15" customHeight="1" x14ac:dyDescent="0.25">
      <c r="A5" s="11">
        <v>5001</v>
      </c>
      <c r="B5" s="12">
        <v>1001</v>
      </c>
      <c r="C5" s="12" t="s">
        <v>121</v>
      </c>
      <c r="D5" s="13">
        <v>45299</v>
      </c>
      <c r="E5" s="12">
        <v>45</v>
      </c>
    </row>
    <row r="6" spans="1:10" ht="15" customHeight="1" x14ac:dyDescent="0.25">
      <c r="A6" s="14">
        <v>5002</v>
      </c>
      <c r="B6" s="15">
        <v>1003</v>
      </c>
      <c r="C6" s="15" t="s">
        <v>122</v>
      </c>
      <c r="D6" s="15"/>
      <c r="E6" s="15">
        <v>60</v>
      </c>
    </row>
    <row r="7" spans="1:10" ht="15" customHeight="1" x14ac:dyDescent="0.25">
      <c r="A7" s="11">
        <v>5003</v>
      </c>
      <c r="B7" s="12">
        <v>1005</v>
      </c>
      <c r="C7" s="12" t="s">
        <v>123</v>
      </c>
      <c r="D7" s="12"/>
      <c r="E7" s="12">
        <v>30</v>
      </c>
    </row>
    <row r="8" spans="1:10" ht="15" customHeight="1" x14ac:dyDescent="0.25">
      <c r="A8" s="14">
        <v>5004</v>
      </c>
      <c r="B8" s="15">
        <v>1002</v>
      </c>
      <c r="C8" s="15" t="s">
        <v>121</v>
      </c>
      <c r="D8" s="16">
        <v>45300</v>
      </c>
      <c r="E8" s="15">
        <v>45</v>
      </c>
    </row>
    <row r="9" spans="1:10" ht="15" customHeight="1" x14ac:dyDescent="0.25">
      <c r="A9" s="11">
        <v>5005</v>
      </c>
      <c r="B9" s="12">
        <v>1010</v>
      </c>
      <c r="C9" s="12" t="s">
        <v>124</v>
      </c>
      <c r="D9" s="12"/>
      <c r="E9" s="12">
        <v>60</v>
      </c>
    </row>
    <row r="10" spans="1:10" ht="15" customHeight="1" x14ac:dyDescent="0.25">
      <c r="A10" s="14">
        <v>5006</v>
      </c>
      <c r="B10" s="15">
        <v>1006</v>
      </c>
      <c r="C10" s="15" t="s">
        <v>125</v>
      </c>
      <c r="D10" s="15"/>
      <c r="E10" s="15">
        <v>40</v>
      </c>
    </row>
    <row r="11" spans="1:10" ht="15" customHeight="1" x14ac:dyDescent="0.25">
      <c r="A11" s="11">
        <v>5007</v>
      </c>
      <c r="B11" s="12">
        <v>1009</v>
      </c>
      <c r="C11" s="12" t="s">
        <v>123</v>
      </c>
      <c r="D11" s="13">
        <v>45301</v>
      </c>
      <c r="E11" s="12">
        <v>30</v>
      </c>
    </row>
    <row r="12" spans="1:10" ht="15" customHeight="1" x14ac:dyDescent="0.25">
      <c r="A12" s="14">
        <v>5008</v>
      </c>
      <c r="B12" s="15">
        <v>1014</v>
      </c>
      <c r="C12" s="15" t="s">
        <v>121</v>
      </c>
      <c r="D12" s="15"/>
      <c r="E12" s="15">
        <v>45</v>
      </c>
    </row>
    <row r="13" spans="1:10" ht="15" customHeight="1" x14ac:dyDescent="0.25">
      <c r="A13" s="11">
        <v>5009</v>
      </c>
      <c r="B13" s="12">
        <v>1004</v>
      </c>
      <c r="C13" s="12" t="s">
        <v>124</v>
      </c>
      <c r="D13" s="12"/>
      <c r="E13" s="12">
        <v>60</v>
      </c>
    </row>
    <row r="14" spans="1:10" ht="15" customHeight="1" x14ac:dyDescent="0.25">
      <c r="A14" s="14">
        <v>5010</v>
      </c>
      <c r="B14" s="15">
        <v>1011</v>
      </c>
      <c r="C14" s="15" t="s">
        <v>122</v>
      </c>
      <c r="D14" s="15"/>
      <c r="E14" s="15">
        <v>60</v>
      </c>
    </row>
    <row r="15" spans="1:10" ht="15" customHeight="1" x14ac:dyDescent="0.25">
      <c r="A15" s="11">
        <v>5011</v>
      </c>
      <c r="B15" s="12">
        <v>1001</v>
      </c>
      <c r="C15" s="12" t="s">
        <v>123</v>
      </c>
      <c r="D15" s="13">
        <v>45302</v>
      </c>
      <c r="E15" s="12">
        <v>30</v>
      </c>
    </row>
    <row r="16" spans="1:10" ht="15" customHeight="1" x14ac:dyDescent="0.25">
      <c r="A16" s="14">
        <v>5012</v>
      </c>
      <c r="B16" s="15">
        <v>1017</v>
      </c>
      <c r="C16" s="15" t="s">
        <v>121</v>
      </c>
      <c r="D16" s="15"/>
      <c r="E16" s="15">
        <v>45</v>
      </c>
    </row>
    <row r="17" spans="1:5" ht="15" customHeight="1" x14ac:dyDescent="0.25">
      <c r="A17" s="11">
        <v>5013</v>
      </c>
      <c r="B17" s="12">
        <v>1020</v>
      </c>
      <c r="C17" s="12" t="s">
        <v>125</v>
      </c>
      <c r="D17" s="12"/>
      <c r="E17" s="12">
        <v>40</v>
      </c>
    </row>
    <row r="18" spans="1:5" ht="15" customHeight="1" x14ac:dyDescent="0.25">
      <c r="A18" s="14">
        <v>5014</v>
      </c>
      <c r="B18" s="15">
        <v>1007</v>
      </c>
      <c r="C18" s="15" t="s">
        <v>122</v>
      </c>
      <c r="D18" s="16">
        <v>45303</v>
      </c>
      <c r="E18" s="15">
        <v>60</v>
      </c>
    </row>
    <row r="19" spans="1:5" ht="15" customHeight="1" x14ac:dyDescent="0.25">
      <c r="A19" s="11">
        <v>5015</v>
      </c>
      <c r="B19" s="12">
        <v>1015</v>
      </c>
      <c r="C19" s="12" t="s">
        <v>123</v>
      </c>
      <c r="D19" s="12"/>
      <c r="E19" s="12">
        <v>30</v>
      </c>
    </row>
    <row r="20" spans="1:5" ht="15" customHeight="1" x14ac:dyDescent="0.25">
      <c r="A20" s="14">
        <v>5016</v>
      </c>
      <c r="B20" s="15">
        <v>1003</v>
      </c>
      <c r="C20" s="15" t="s">
        <v>121</v>
      </c>
      <c r="D20" s="15"/>
      <c r="E20" s="15">
        <v>45</v>
      </c>
    </row>
    <row r="21" spans="1:5" ht="15.75" customHeight="1" x14ac:dyDescent="0.25">
      <c r="A21" s="11">
        <v>5017</v>
      </c>
      <c r="B21" s="12">
        <v>1021</v>
      </c>
      <c r="C21" s="12" t="s">
        <v>124</v>
      </c>
      <c r="D21" s="12"/>
      <c r="E21" s="12">
        <v>60</v>
      </c>
    </row>
    <row r="22" spans="1:5" ht="15.75" customHeight="1" x14ac:dyDescent="0.25">
      <c r="A22" s="14">
        <v>5018</v>
      </c>
      <c r="B22" s="15">
        <v>1012</v>
      </c>
      <c r="C22" s="15" t="s">
        <v>123</v>
      </c>
      <c r="D22" s="16">
        <v>45304</v>
      </c>
      <c r="E22" s="15">
        <v>30</v>
      </c>
    </row>
    <row r="23" spans="1:5" ht="15.75" customHeight="1" x14ac:dyDescent="0.25">
      <c r="A23" s="11">
        <v>5019</v>
      </c>
      <c r="B23" s="12">
        <v>1016</v>
      </c>
      <c r="C23" s="12" t="s">
        <v>121</v>
      </c>
      <c r="D23" s="12"/>
      <c r="E23" s="12">
        <v>45</v>
      </c>
    </row>
    <row r="24" spans="1:5" ht="15.75" customHeight="1" x14ac:dyDescent="0.25">
      <c r="A24" s="14">
        <v>5020</v>
      </c>
      <c r="B24" s="15">
        <v>1009</v>
      </c>
      <c r="C24" s="15" t="s">
        <v>122</v>
      </c>
      <c r="D24" s="15"/>
      <c r="E24" s="15">
        <v>60</v>
      </c>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autoFilter ref="A4:E24" xr:uid="{00000000-0009-0000-0000-000003000000}"/>
  <mergeCells count="2">
    <mergeCell ref="A1:E1"/>
    <mergeCell ref="A2:E2"/>
  </mergeCells>
  <hyperlinks>
    <hyperlink ref="J1" location="'Payments'!A1" display="Next  ▶" xr:uid="{00000000-0004-0000-0300-000000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8C99"/>
  </sheetPr>
  <dimension ref="A1:J1000"/>
  <sheetViews>
    <sheetView showGridLines="0" zoomScaleNormal="100" workbookViewId="0">
      <pane ySplit="4" topLeftCell="A5" activePane="bottomLeft" state="frozen"/>
      <selection pane="bottomLeft" activeCell="J1" sqref="J1"/>
    </sheetView>
  </sheetViews>
  <sheetFormatPr defaultColWidth="14.42578125" defaultRowHeight="15" x14ac:dyDescent="0.25"/>
  <cols>
    <col min="1" max="1" width="12" customWidth="1"/>
    <col min="2" max="5" width="11" customWidth="1"/>
    <col min="6" max="6" width="15" customWidth="1"/>
    <col min="7" max="7" width="12" customWidth="1"/>
    <col min="8" max="12" width="8.7109375" customWidth="1"/>
  </cols>
  <sheetData>
    <row r="1" spans="1:10" ht="30" customHeight="1" x14ac:dyDescent="0.25">
      <c r="A1" s="33" t="s">
        <v>126</v>
      </c>
      <c r="B1" s="33"/>
      <c r="C1" s="33"/>
      <c r="D1" s="33"/>
      <c r="E1" s="33"/>
      <c r="F1" s="33"/>
      <c r="G1" s="33"/>
      <c r="J1" s="25" t="s">
        <v>3</v>
      </c>
    </row>
    <row r="2" spans="1:10" ht="21.75" customHeight="1" x14ac:dyDescent="0.25">
      <c r="A2" s="34" t="s">
        <v>127</v>
      </c>
      <c r="B2" s="34"/>
      <c r="C2" s="34"/>
      <c r="D2" s="34"/>
      <c r="E2" s="34"/>
      <c r="F2" s="34"/>
      <c r="G2" s="34"/>
    </row>
    <row r="4" spans="1:10" ht="19.5" customHeight="1" x14ac:dyDescent="0.25">
      <c r="A4" s="10" t="s">
        <v>128</v>
      </c>
      <c r="B4" s="10" t="s">
        <v>60</v>
      </c>
      <c r="C4" s="10" t="s">
        <v>119</v>
      </c>
      <c r="D4" s="10" t="s">
        <v>129</v>
      </c>
      <c r="E4" s="10" t="s">
        <v>130</v>
      </c>
      <c r="F4" s="10" t="s">
        <v>131</v>
      </c>
      <c r="G4" s="10" t="s">
        <v>132</v>
      </c>
    </row>
    <row r="5" spans="1:10" ht="15" customHeight="1" x14ac:dyDescent="0.25">
      <c r="A5" s="11">
        <v>9001</v>
      </c>
      <c r="B5" s="12">
        <v>1001</v>
      </c>
      <c r="C5" s="13">
        <v>45296</v>
      </c>
      <c r="D5" s="17">
        <v>35</v>
      </c>
      <c r="E5" s="12" t="s">
        <v>133</v>
      </c>
      <c r="F5" s="12"/>
      <c r="G5" s="12" t="s">
        <v>134</v>
      </c>
    </row>
    <row r="6" spans="1:10" ht="15" customHeight="1" x14ac:dyDescent="0.25">
      <c r="A6" s="14">
        <v>9002</v>
      </c>
      <c r="B6" s="15">
        <v>1002</v>
      </c>
      <c r="C6" s="16">
        <v>45296</v>
      </c>
      <c r="D6" s="18">
        <v>55</v>
      </c>
      <c r="E6" s="15" t="s">
        <v>133</v>
      </c>
      <c r="F6" s="15"/>
      <c r="G6" s="15" t="s">
        <v>134</v>
      </c>
    </row>
    <row r="7" spans="1:10" ht="15" customHeight="1" x14ac:dyDescent="0.25">
      <c r="A7" s="11">
        <v>9003</v>
      </c>
      <c r="B7" s="12">
        <v>1003</v>
      </c>
      <c r="C7" s="13">
        <v>45297</v>
      </c>
      <c r="D7" s="17">
        <v>20</v>
      </c>
      <c r="E7" s="12" t="s">
        <v>135</v>
      </c>
      <c r="F7" s="12"/>
      <c r="G7" s="12" t="s">
        <v>134</v>
      </c>
    </row>
    <row r="8" spans="1:10" ht="15" customHeight="1" x14ac:dyDescent="0.25">
      <c r="A8" s="14">
        <v>9004</v>
      </c>
      <c r="B8" s="15">
        <v>1004</v>
      </c>
      <c r="C8" s="16">
        <v>45297</v>
      </c>
      <c r="D8" s="18">
        <v>28</v>
      </c>
      <c r="E8" s="15" t="s">
        <v>135</v>
      </c>
      <c r="F8" s="15"/>
      <c r="G8" s="15" t="s">
        <v>134</v>
      </c>
    </row>
    <row r="9" spans="1:10" ht="15" customHeight="1" x14ac:dyDescent="0.25">
      <c r="A9" s="11">
        <v>9005</v>
      </c>
      <c r="B9" s="12">
        <v>1005</v>
      </c>
      <c r="C9" s="13">
        <v>45298</v>
      </c>
      <c r="D9" s="17">
        <v>35</v>
      </c>
      <c r="E9" s="12" t="s">
        <v>133</v>
      </c>
      <c r="F9" s="12" t="s">
        <v>136</v>
      </c>
      <c r="G9" s="12" t="s">
        <v>134</v>
      </c>
    </row>
    <row r="10" spans="1:10" ht="15" customHeight="1" x14ac:dyDescent="0.25">
      <c r="A10" s="14">
        <v>9006</v>
      </c>
      <c r="B10" s="15">
        <v>1006</v>
      </c>
      <c r="C10" s="16">
        <v>45298</v>
      </c>
      <c r="D10" s="18">
        <v>35</v>
      </c>
      <c r="E10" s="15" t="s">
        <v>137</v>
      </c>
      <c r="F10" s="15"/>
      <c r="G10" s="15" t="s">
        <v>134</v>
      </c>
    </row>
    <row r="11" spans="1:10" ht="15" customHeight="1" x14ac:dyDescent="0.25">
      <c r="A11" s="11">
        <v>9007</v>
      </c>
      <c r="B11" s="12">
        <v>1007</v>
      </c>
      <c r="C11" s="13">
        <v>45299</v>
      </c>
      <c r="D11" s="17">
        <v>55</v>
      </c>
      <c r="E11" s="12" t="s">
        <v>133</v>
      </c>
      <c r="F11" s="12"/>
      <c r="G11" s="12" t="s">
        <v>134</v>
      </c>
    </row>
    <row r="12" spans="1:10" ht="15" customHeight="1" x14ac:dyDescent="0.25">
      <c r="A12" s="14">
        <v>9008</v>
      </c>
      <c r="B12" s="15">
        <v>1008</v>
      </c>
      <c r="C12" s="16">
        <v>45299</v>
      </c>
      <c r="D12" s="18">
        <v>20</v>
      </c>
      <c r="E12" s="15" t="s">
        <v>135</v>
      </c>
      <c r="F12" s="15"/>
      <c r="G12" s="15" t="s">
        <v>134</v>
      </c>
    </row>
    <row r="13" spans="1:10" ht="15" customHeight="1" x14ac:dyDescent="0.25">
      <c r="A13" s="11">
        <v>9009</v>
      </c>
      <c r="B13" s="12">
        <v>1009</v>
      </c>
      <c r="C13" s="13">
        <v>45300</v>
      </c>
      <c r="D13" s="17">
        <v>35</v>
      </c>
      <c r="E13" s="12" t="s">
        <v>133</v>
      </c>
      <c r="F13" s="12"/>
      <c r="G13" s="12" t="s">
        <v>134</v>
      </c>
    </row>
    <row r="14" spans="1:10" ht="15" customHeight="1" x14ac:dyDescent="0.25">
      <c r="A14" s="14">
        <v>9010</v>
      </c>
      <c r="B14" s="15">
        <v>1010</v>
      </c>
      <c r="C14" s="16">
        <v>45300</v>
      </c>
      <c r="D14" s="18">
        <v>28</v>
      </c>
      <c r="E14" s="15" t="s">
        <v>135</v>
      </c>
      <c r="F14" s="15" t="s">
        <v>138</v>
      </c>
      <c r="G14" s="15" t="s">
        <v>134</v>
      </c>
    </row>
    <row r="15" spans="1:10" ht="15" customHeight="1" x14ac:dyDescent="0.25">
      <c r="A15" s="11">
        <v>9011</v>
      </c>
      <c r="B15" s="12">
        <v>1011</v>
      </c>
      <c r="C15" s="13">
        <v>45301</v>
      </c>
      <c r="D15" s="17">
        <v>35</v>
      </c>
      <c r="E15" s="12" t="s">
        <v>133</v>
      </c>
      <c r="F15" s="12"/>
      <c r="G15" s="12" t="s">
        <v>134</v>
      </c>
    </row>
    <row r="16" spans="1:10" ht="15" customHeight="1" x14ac:dyDescent="0.25">
      <c r="A16" s="14">
        <v>9012</v>
      </c>
      <c r="B16" s="15">
        <v>1012</v>
      </c>
      <c r="C16" s="16">
        <v>45301</v>
      </c>
      <c r="D16" s="18">
        <v>55</v>
      </c>
      <c r="E16" s="15" t="s">
        <v>137</v>
      </c>
      <c r="F16" s="15"/>
      <c r="G16" s="15" t="s">
        <v>134</v>
      </c>
    </row>
    <row r="17" spans="1:7" ht="15" customHeight="1" x14ac:dyDescent="0.25">
      <c r="A17" s="11">
        <v>9013</v>
      </c>
      <c r="B17" s="12">
        <v>1013</v>
      </c>
      <c r="C17" s="13">
        <v>45302</v>
      </c>
      <c r="D17" s="17">
        <v>20</v>
      </c>
      <c r="E17" s="12" t="s">
        <v>135</v>
      </c>
      <c r="F17" s="12"/>
      <c r="G17" s="12" t="s">
        <v>134</v>
      </c>
    </row>
    <row r="18" spans="1:7" ht="15" customHeight="1" x14ac:dyDescent="0.25">
      <c r="A18" s="14">
        <v>9014</v>
      </c>
      <c r="B18" s="15">
        <v>1014</v>
      </c>
      <c r="C18" s="16">
        <v>45302</v>
      </c>
      <c r="D18" s="18">
        <v>35</v>
      </c>
      <c r="E18" s="15" t="s">
        <v>133</v>
      </c>
      <c r="F18" s="15"/>
      <c r="G18" s="15" t="s">
        <v>134</v>
      </c>
    </row>
    <row r="19" spans="1:7" ht="15" customHeight="1" x14ac:dyDescent="0.25">
      <c r="A19" s="11">
        <v>9015</v>
      </c>
      <c r="B19" s="12">
        <v>1015</v>
      </c>
      <c r="C19" s="13">
        <v>45303</v>
      </c>
      <c r="D19" s="17">
        <v>350</v>
      </c>
      <c r="E19" s="12" t="s">
        <v>135</v>
      </c>
      <c r="F19" s="12" t="s">
        <v>139</v>
      </c>
      <c r="G19" s="12" t="s">
        <v>134</v>
      </c>
    </row>
    <row r="20" spans="1:7" ht="15" customHeight="1" x14ac:dyDescent="0.25">
      <c r="A20" s="14">
        <v>9016</v>
      </c>
      <c r="B20" s="15">
        <v>1016</v>
      </c>
      <c r="C20" s="16">
        <v>45303</v>
      </c>
      <c r="D20" s="18">
        <v>28</v>
      </c>
      <c r="E20" s="15" t="s">
        <v>135</v>
      </c>
      <c r="F20" s="15"/>
      <c r="G20" s="15" t="s">
        <v>134</v>
      </c>
    </row>
    <row r="21" spans="1:7" ht="15.75" customHeight="1" x14ac:dyDescent="0.25">
      <c r="A21" s="11">
        <v>9017</v>
      </c>
      <c r="B21" s="12">
        <v>1017</v>
      </c>
      <c r="C21" s="13">
        <v>45304</v>
      </c>
      <c r="D21" s="17">
        <v>35</v>
      </c>
      <c r="E21" s="12" t="s">
        <v>133</v>
      </c>
      <c r="F21" s="12"/>
      <c r="G21" s="12" t="s">
        <v>134</v>
      </c>
    </row>
    <row r="22" spans="1:7" ht="15.75" customHeight="1" x14ac:dyDescent="0.25">
      <c r="A22" s="14">
        <v>9018</v>
      </c>
      <c r="B22" s="15">
        <v>1018</v>
      </c>
      <c r="C22" s="16">
        <v>45304</v>
      </c>
      <c r="D22" s="18">
        <v>55</v>
      </c>
      <c r="E22" s="15" t="s">
        <v>133</v>
      </c>
      <c r="F22" s="15"/>
      <c r="G22" s="15" t="s">
        <v>134</v>
      </c>
    </row>
    <row r="23" spans="1:7" ht="15.75" customHeight="1" x14ac:dyDescent="0.25">
      <c r="A23" s="11">
        <v>9019</v>
      </c>
      <c r="B23" s="12">
        <v>1019</v>
      </c>
      <c r="C23" s="13">
        <v>45305</v>
      </c>
      <c r="D23" s="17">
        <v>20</v>
      </c>
      <c r="E23" s="12" t="s">
        <v>135</v>
      </c>
      <c r="F23" s="12"/>
      <c r="G23" s="12" t="s">
        <v>134</v>
      </c>
    </row>
    <row r="24" spans="1:7" ht="15.75" customHeight="1" x14ac:dyDescent="0.25">
      <c r="A24" s="14">
        <v>9020</v>
      </c>
      <c r="B24" s="15">
        <v>1020</v>
      </c>
      <c r="C24" s="16">
        <v>45305</v>
      </c>
      <c r="D24" s="18">
        <v>35</v>
      </c>
      <c r="E24" s="15" t="s">
        <v>137</v>
      </c>
      <c r="F24" s="15" t="s">
        <v>140</v>
      </c>
      <c r="G24" s="15" t="s">
        <v>134</v>
      </c>
    </row>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autoFilter ref="A4:G24" xr:uid="{00000000-0009-0000-0000-000004000000}"/>
  <mergeCells count="2">
    <mergeCell ref="A1:G1"/>
    <mergeCell ref="A2:G2"/>
  </mergeCells>
  <hyperlinks>
    <hyperlink ref="J1" location="'Task - Access &amp; Examine'!A1" display="Next  ▶" xr:uid="{00000000-0004-0000-0400-000000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1000"/>
  <sheetViews>
    <sheetView showGridLines="0" zoomScaleNormal="100" workbookViewId="0">
      <selection activeCell="C12" sqref="C12"/>
    </sheetView>
  </sheetViews>
  <sheetFormatPr defaultColWidth="14.42578125" defaultRowHeight="15" x14ac:dyDescent="0.25"/>
  <cols>
    <col min="1" max="1" width="3" customWidth="1"/>
    <col min="2" max="2" width="52" customWidth="1"/>
    <col min="3" max="3" width="14" customWidth="1"/>
    <col min="4" max="4" width="16" customWidth="1"/>
    <col min="5" max="8" width="12" customWidth="1"/>
    <col min="9" max="9" width="1.5703125" customWidth="1"/>
    <col min="10" max="10" width="52" customWidth="1"/>
  </cols>
  <sheetData>
    <row r="1" spans="1:10" ht="30" customHeight="1" x14ac:dyDescent="0.25">
      <c r="A1" s="33" t="s">
        <v>141</v>
      </c>
      <c r="B1" s="33"/>
      <c r="C1" s="33"/>
      <c r="D1" s="33"/>
      <c r="E1" s="33"/>
      <c r="F1" s="33"/>
      <c r="G1" s="33"/>
      <c r="H1" s="33"/>
      <c r="J1" s="25" t="s">
        <v>3</v>
      </c>
    </row>
    <row r="2" spans="1:10" ht="21.75" customHeight="1" x14ac:dyDescent="0.25">
      <c r="A2" s="34" t="s">
        <v>142</v>
      </c>
      <c r="B2" s="34"/>
      <c r="C2" s="34"/>
      <c r="D2" s="34"/>
      <c r="E2" s="34"/>
      <c r="F2" s="34"/>
      <c r="G2" s="34"/>
      <c r="H2" s="34"/>
    </row>
    <row r="4" spans="1:10" ht="45.75" customHeight="1" x14ac:dyDescent="0.25">
      <c r="A4" s="30" t="s">
        <v>143</v>
      </c>
      <c r="B4" s="30"/>
      <c r="C4" s="30"/>
      <c r="D4" s="30"/>
      <c r="E4" s="30"/>
      <c r="F4" s="30"/>
      <c r="G4" s="30"/>
      <c r="H4" s="30"/>
    </row>
    <row r="6" spans="1:10" ht="24" customHeight="1" x14ac:dyDescent="0.25">
      <c r="A6" s="31" t="s">
        <v>144</v>
      </c>
      <c r="B6" s="31"/>
      <c r="C6" s="31"/>
      <c r="D6" s="31"/>
      <c r="E6" s="31"/>
      <c r="F6" s="31"/>
      <c r="G6" s="31"/>
      <c r="H6" s="31"/>
    </row>
    <row r="7" spans="1:10" ht="18" customHeight="1" x14ac:dyDescent="0.25">
      <c r="B7" s="19" t="s">
        <v>48</v>
      </c>
      <c r="C7" s="20" t="s">
        <v>49</v>
      </c>
      <c r="D7" s="20" t="s">
        <v>50</v>
      </c>
      <c r="J7" s="8" t="s">
        <v>145</v>
      </c>
    </row>
    <row r="8" spans="1:10" ht="30" customHeight="1" x14ac:dyDescent="0.25">
      <c r="B8" s="21" t="s">
        <v>146</v>
      </c>
      <c r="C8" s="24"/>
      <c r="D8" s="9" t="str">
        <f>IF(C8="","",IFERROR(IF(ABS(C8-24)&lt;0.01,"✓  Correct","✗  Try again"),"✗  Try again"))</f>
        <v/>
      </c>
      <c r="J8" s="1" t="s">
        <v>147</v>
      </c>
    </row>
    <row r="9" spans="1:10" ht="30" customHeight="1" x14ac:dyDescent="0.25">
      <c r="B9" s="21" t="s">
        <v>148</v>
      </c>
      <c r="C9" s="24"/>
      <c r="D9" s="9" t="str">
        <f>IF(C9="","",IFERROR(IF(ABS(C9-5)&lt;0.01,"✓  Correct","✗  Try again"),"✗  Try again"))</f>
        <v/>
      </c>
      <c r="J9" s="1" t="s">
        <v>149</v>
      </c>
    </row>
    <row r="10" spans="1:10" ht="42.75" customHeight="1" x14ac:dyDescent="0.25">
      <c r="B10" s="21" t="s">
        <v>150</v>
      </c>
      <c r="C10" s="24"/>
      <c r="D10" s="9" t="str">
        <f>IF(C10="","",IFERROR(IF(ABS(C10-5)&lt;0.01,"✓  Correct","✗  Try again"),"✗  Try again"))</f>
        <v/>
      </c>
      <c r="J10" s="1" t="s">
        <v>151</v>
      </c>
    </row>
    <row r="11" spans="1:10" ht="30" customHeight="1" x14ac:dyDescent="0.25">
      <c r="B11" s="21" t="s">
        <v>152</v>
      </c>
      <c r="C11" s="24"/>
      <c r="D11" s="9" t="str">
        <f>IF(C11="","",IFERROR(IF(ABS(C11-2018)&lt;0.01,"✓  Correct","✗  Try again"),"✗  Try again"))</f>
        <v/>
      </c>
      <c r="J11" s="1" t="s">
        <v>153</v>
      </c>
    </row>
    <row r="12" spans="1:10" ht="30" customHeight="1" x14ac:dyDescent="0.25">
      <c r="B12" s="21" t="s">
        <v>154</v>
      </c>
      <c r="C12" s="24"/>
      <c r="D12" s="9" t="str">
        <f>IF(C12="","",IFERROR(IF(ABS(C12-20)&lt;0.01,"✓  Correct","✗  Try again"),"✗  Try again"))</f>
        <v/>
      </c>
      <c r="J12" s="1" t="s">
        <v>155</v>
      </c>
    </row>
    <row r="14" spans="1:10" ht="24" customHeight="1" x14ac:dyDescent="0.25">
      <c r="A14" s="31" t="s">
        <v>156</v>
      </c>
      <c r="B14" s="31"/>
      <c r="C14" s="31"/>
      <c r="D14" s="31"/>
      <c r="E14" s="31"/>
      <c r="F14" s="31"/>
      <c r="G14" s="31"/>
      <c r="H14" s="31"/>
    </row>
    <row r="15" spans="1:10" ht="27.75" customHeight="1" x14ac:dyDescent="0.25">
      <c r="A15" s="30" t="s">
        <v>157</v>
      </c>
      <c r="B15" s="30"/>
      <c r="C15" s="30"/>
      <c r="D15" s="30"/>
      <c r="E15" s="30"/>
      <c r="F15" s="30"/>
      <c r="G15" s="30"/>
      <c r="H15" s="30"/>
    </row>
    <row r="16" spans="1:10" ht="30" customHeight="1" x14ac:dyDescent="0.25">
      <c r="B16" s="26" t="s">
        <v>158</v>
      </c>
      <c r="C16" s="26"/>
      <c r="D16" s="26"/>
      <c r="E16" s="36"/>
      <c r="F16" s="36"/>
      <c r="G16" s="36"/>
      <c r="H16" s="36"/>
    </row>
    <row r="17" spans="1:8" ht="30" customHeight="1" x14ac:dyDescent="0.25">
      <c r="B17" s="26" t="s">
        <v>159</v>
      </c>
      <c r="C17" s="26"/>
      <c r="D17" s="26"/>
      <c r="E17" s="36"/>
      <c r="F17" s="36"/>
      <c r="G17" s="36"/>
      <c r="H17" s="36"/>
    </row>
    <row r="18" spans="1:8" ht="30" customHeight="1" x14ac:dyDescent="0.25">
      <c r="B18" s="26" t="s">
        <v>160</v>
      </c>
      <c r="C18" s="26"/>
      <c r="D18" s="26"/>
      <c r="E18" s="36"/>
      <c r="F18" s="36"/>
      <c r="G18" s="36"/>
      <c r="H18" s="36"/>
    </row>
    <row r="20" spans="1:8" ht="24" customHeight="1" x14ac:dyDescent="0.25">
      <c r="A20" s="31" t="s">
        <v>161</v>
      </c>
      <c r="B20" s="31"/>
      <c r="C20" s="31"/>
      <c r="D20" s="31"/>
      <c r="E20" s="31"/>
      <c r="F20" s="31"/>
      <c r="G20" s="31"/>
      <c r="H20" s="31"/>
    </row>
    <row r="21" spans="1:8" ht="18" customHeight="1" x14ac:dyDescent="0.25">
      <c r="A21" s="30" t="s">
        <v>162</v>
      </c>
      <c r="B21" s="30"/>
      <c r="C21" s="30"/>
      <c r="D21" s="30"/>
      <c r="E21" s="30"/>
      <c r="F21" s="30"/>
      <c r="G21" s="30"/>
      <c r="H21" s="30"/>
    </row>
    <row r="22" spans="1:8" ht="19.5" customHeight="1" x14ac:dyDescent="0.25">
      <c r="C22" s="24"/>
      <c r="D22" s="26" t="s">
        <v>163</v>
      </c>
      <c r="E22" s="26"/>
      <c r="F22" s="26"/>
      <c r="G22" s="26"/>
      <c r="H22" s="26"/>
    </row>
    <row r="23" spans="1:8" ht="19.5" customHeight="1" x14ac:dyDescent="0.25">
      <c r="C23" s="24"/>
      <c r="D23" s="26" t="s">
        <v>164</v>
      </c>
      <c r="E23" s="26"/>
      <c r="F23" s="26"/>
      <c r="G23" s="26"/>
      <c r="H23" s="26"/>
    </row>
    <row r="24" spans="1:8" ht="19.5" customHeight="1" x14ac:dyDescent="0.25">
      <c r="C24" s="24"/>
      <c r="D24" s="26" t="s">
        <v>165</v>
      </c>
      <c r="E24" s="26"/>
      <c r="F24" s="26"/>
      <c r="G24" s="26"/>
      <c r="H24" s="26"/>
    </row>
    <row r="25" spans="1:8" ht="19.5" customHeight="1" x14ac:dyDescent="0.25">
      <c r="C25" s="24"/>
      <c r="D25" s="26" t="s">
        <v>166</v>
      </c>
      <c r="E25" s="26"/>
      <c r="F25" s="26"/>
      <c r="G25" s="26"/>
      <c r="H25" s="26"/>
    </row>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8">
    <mergeCell ref="A1:H1"/>
    <mergeCell ref="A2:H2"/>
    <mergeCell ref="A4:H4"/>
    <mergeCell ref="A6:H6"/>
    <mergeCell ref="A14:H14"/>
    <mergeCell ref="A15:H15"/>
    <mergeCell ref="B16:D16"/>
    <mergeCell ref="E16:H16"/>
    <mergeCell ref="B17:D17"/>
    <mergeCell ref="E17:H17"/>
    <mergeCell ref="D23:H23"/>
    <mergeCell ref="D24:H24"/>
    <mergeCell ref="D25:H25"/>
    <mergeCell ref="B18:D18"/>
    <mergeCell ref="E18:H18"/>
    <mergeCell ref="A20:H20"/>
    <mergeCell ref="A21:H21"/>
    <mergeCell ref="D22:H22"/>
  </mergeCells>
  <conditionalFormatting sqref="D8:D12">
    <cfRule type="expression" dxfId="3" priority="2">
      <formula>ISNUMBER(SEARCH("Correct",D8))</formula>
    </cfRule>
    <cfRule type="expression" dxfId="2" priority="3">
      <formula>ISNUMBER(SEARCH("Try",D8))</formula>
    </cfRule>
  </conditionalFormatting>
  <hyperlinks>
    <hyperlink ref="J1" location="'Support'!A1" display="Next  ▶" xr:uid="{00000000-0004-0000-0500-000000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J1000"/>
  <sheetViews>
    <sheetView showGridLines="0" zoomScaleNormal="100" workbookViewId="0">
      <selection activeCell="J1" sqref="J1"/>
    </sheetView>
  </sheetViews>
  <sheetFormatPr defaultColWidth="14.42578125" defaultRowHeight="15" x14ac:dyDescent="0.25"/>
  <cols>
    <col min="1" max="1" width="3" customWidth="1"/>
    <col min="2" max="2" width="34" customWidth="1"/>
    <col min="3" max="3" width="60" customWidth="1"/>
    <col min="4" max="4" width="12" customWidth="1"/>
    <col min="5" max="8" width="8.7109375" customWidth="1"/>
    <col min="10" max="10" width="52" customWidth="1"/>
  </cols>
  <sheetData>
    <row r="1" spans="1:10" ht="30" customHeight="1" x14ac:dyDescent="0.25">
      <c r="A1" s="33" t="s">
        <v>167</v>
      </c>
      <c r="B1" s="33"/>
      <c r="C1" s="33"/>
      <c r="J1" s="25" t="s">
        <v>3</v>
      </c>
    </row>
    <row r="2" spans="1:10" ht="21.75" customHeight="1" x14ac:dyDescent="0.25">
      <c r="A2" s="34" t="s">
        <v>168</v>
      </c>
      <c r="B2" s="34"/>
      <c r="C2" s="34"/>
    </row>
    <row r="4" spans="1:10" ht="27.75" customHeight="1" x14ac:dyDescent="0.25">
      <c r="A4" s="30" t="s">
        <v>169</v>
      </c>
      <c r="B4" s="30"/>
      <c r="C4" s="30"/>
    </row>
    <row r="6" spans="1:10" ht="45.75" customHeight="1" x14ac:dyDescent="0.25">
      <c r="B6" s="7" t="s">
        <v>170</v>
      </c>
      <c r="C6" s="21" t="s">
        <v>171</v>
      </c>
    </row>
    <row r="7" spans="1:10" ht="45.75" customHeight="1" x14ac:dyDescent="0.25">
      <c r="B7" s="7" t="s">
        <v>172</v>
      </c>
      <c r="C7" s="21" t="s">
        <v>173</v>
      </c>
    </row>
    <row r="8" spans="1:10" ht="45.75" customHeight="1" x14ac:dyDescent="0.25">
      <c r="B8" s="7" t="s">
        <v>174</v>
      </c>
      <c r="C8" s="21" t="s">
        <v>175</v>
      </c>
    </row>
    <row r="9" spans="1:10" ht="45.75" customHeight="1" x14ac:dyDescent="0.25">
      <c r="B9" s="7" t="s">
        <v>176</v>
      </c>
      <c r="C9" s="21" t="s">
        <v>177</v>
      </c>
    </row>
    <row r="10" spans="1:10" ht="45.75" customHeight="1" x14ac:dyDescent="0.25">
      <c r="B10" s="7" t="s">
        <v>178</v>
      </c>
      <c r="C10" s="21" t="s">
        <v>179</v>
      </c>
    </row>
    <row r="11" spans="1:10" ht="45.75" customHeight="1" x14ac:dyDescent="0.25">
      <c r="B11" s="7" t="s">
        <v>180</v>
      </c>
      <c r="C11" s="21" t="s">
        <v>181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3">
    <mergeCell ref="A1:C1"/>
    <mergeCell ref="A2:C2"/>
    <mergeCell ref="A4:C4"/>
  </mergeCells>
  <hyperlinks>
    <hyperlink ref="J1" location="'Rescue - If It Goes Wrong'!A1" display="Next  ▶" xr:uid="{00000000-0004-0000-0600-000000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5A11"/>
  </sheetPr>
  <dimension ref="A1:J20"/>
  <sheetViews>
    <sheetView showGridLines="0" zoomScaleNormal="100" workbookViewId="0">
      <selection activeCell="J1" sqref="J1"/>
    </sheetView>
  </sheetViews>
  <sheetFormatPr defaultColWidth="8.7109375" defaultRowHeight="15" x14ac:dyDescent="0.25"/>
  <cols>
    <col min="1" max="1" width="3" customWidth="1"/>
    <col min="2" max="2" width="46" customWidth="1"/>
    <col min="3" max="3" width="10" customWidth="1"/>
    <col min="4" max="4" width="30" customWidth="1"/>
    <col min="5" max="5" width="8" customWidth="1"/>
    <col min="6" max="7" width="14" customWidth="1"/>
    <col min="8" max="8" width="4" customWidth="1"/>
    <col min="9" max="9" width="1.5703125" customWidth="1"/>
    <col min="10" max="10" width="52" customWidth="1"/>
  </cols>
  <sheetData>
    <row r="1" spans="1:10" ht="30" customHeight="1" x14ac:dyDescent="0.25">
      <c r="A1" s="40" t="s">
        <v>182</v>
      </c>
      <c r="B1" s="40"/>
      <c r="C1" s="40"/>
      <c r="D1" s="40"/>
      <c r="E1" s="40"/>
      <c r="F1" s="40"/>
      <c r="G1" s="40"/>
      <c r="H1" s="40"/>
      <c r="J1" s="25" t="s">
        <v>3</v>
      </c>
    </row>
    <row r="2" spans="1:10" ht="18" customHeight="1" x14ac:dyDescent="0.25">
      <c r="A2" s="41" t="s">
        <v>183</v>
      </c>
      <c r="B2" s="41"/>
      <c r="C2" s="41"/>
      <c r="D2" s="41"/>
      <c r="E2" s="41"/>
      <c r="F2" s="41"/>
      <c r="G2" s="41"/>
      <c r="H2" s="41"/>
    </row>
    <row r="4" spans="1:10" ht="48" customHeight="1" x14ac:dyDescent="0.25">
      <c r="A4" s="37" t="s">
        <v>184</v>
      </c>
      <c r="B4" s="37"/>
      <c r="C4" s="37"/>
      <c r="D4" s="37"/>
      <c r="E4" s="37"/>
      <c r="F4" s="37"/>
      <c r="G4" s="37"/>
      <c r="H4" s="37"/>
    </row>
    <row r="6" spans="1:10" ht="19.5" customHeight="1" x14ac:dyDescent="0.25">
      <c r="A6" s="31" t="s">
        <v>185</v>
      </c>
      <c r="B6" s="31"/>
      <c r="C6" s="31"/>
      <c r="D6" s="31"/>
      <c r="E6" s="31"/>
      <c r="F6" s="31"/>
      <c r="G6" s="31"/>
      <c r="H6" s="31"/>
    </row>
    <row r="7" spans="1:10" ht="15.75" customHeight="1" x14ac:dyDescent="0.25">
      <c r="B7" s="39" t="s">
        <v>186</v>
      </c>
      <c r="C7" s="39"/>
      <c r="D7" s="39"/>
      <c r="E7" s="39"/>
      <c r="F7" s="39"/>
      <c r="G7" s="39"/>
      <c r="H7" s="39"/>
    </row>
    <row r="8" spans="1:10" ht="30" customHeight="1" x14ac:dyDescent="0.25">
      <c r="B8" s="39" t="s">
        <v>187</v>
      </c>
      <c r="C8" s="39"/>
      <c r="D8" s="39"/>
      <c r="E8" s="39"/>
      <c r="F8" s="39"/>
      <c r="G8" s="39"/>
      <c r="H8" s="39"/>
    </row>
    <row r="9" spans="1:10" ht="30" customHeight="1" x14ac:dyDescent="0.25">
      <c r="B9" s="39" t="s">
        <v>188</v>
      </c>
      <c r="C9" s="39"/>
      <c r="D9" s="39"/>
      <c r="E9" s="39"/>
      <c r="F9" s="39"/>
      <c r="G9" s="39"/>
      <c r="H9" s="39"/>
    </row>
    <row r="10" spans="1:10" ht="30" customHeight="1" x14ac:dyDescent="0.25">
      <c r="B10" s="39" t="s">
        <v>189</v>
      </c>
      <c r="C10" s="39"/>
      <c r="D10" s="39"/>
      <c r="E10" s="39"/>
      <c r="F10" s="39"/>
      <c r="G10" s="39"/>
      <c r="H10" s="39"/>
    </row>
    <row r="11" spans="1:10" ht="15.75" customHeight="1" x14ac:dyDescent="0.25">
      <c r="B11" s="39" t="s">
        <v>190</v>
      </c>
      <c r="C11" s="39"/>
      <c r="D11" s="39"/>
      <c r="E11" s="39"/>
      <c r="F11" s="39"/>
      <c r="G11" s="39"/>
      <c r="H11" s="39"/>
    </row>
    <row r="12" spans="1:10" ht="30" customHeight="1" x14ac:dyDescent="0.25">
      <c r="B12" s="39" t="s">
        <v>191</v>
      </c>
      <c r="C12" s="39"/>
      <c r="D12" s="39"/>
      <c r="E12" s="39"/>
      <c r="F12" s="39"/>
      <c r="G12" s="39"/>
      <c r="H12" s="39"/>
    </row>
    <row r="14" spans="1:10" ht="19.5" customHeight="1" x14ac:dyDescent="0.25">
      <c r="A14" s="31" t="s">
        <v>192</v>
      </c>
      <c r="B14" s="31"/>
      <c r="C14" s="31"/>
      <c r="D14" s="31"/>
      <c r="E14" s="31"/>
      <c r="F14" s="31"/>
      <c r="G14" s="31"/>
      <c r="H14" s="31"/>
    </row>
    <row r="15" spans="1:10" ht="30" customHeight="1" x14ac:dyDescent="0.25">
      <c r="B15" s="22" t="s">
        <v>193</v>
      </c>
      <c r="C15" s="38" t="s">
        <v>194</v>
      </c>
      <c r="D15" s="38"/>
      <c r="E15" s="38"/>
      <c r="F15" s="38"/>
      <c r="G15" s="38"/>
      <c r="H15" s="38"/>
    </row>
    <row r="16" spans="1:10" ht="30" customHeight="1" x14ac:dyDescent="0.25">
      <c r="B16" s="22" t="s">
        <v>195</v>
      </c>
      <c r="C16" s="38" t="s">
        <v>196</v>
      </c>
      <c r="D16" s="38"/>
      <c r="E16" s="38"/>
      <c r="F16" s="38"/>
      <c r="G16" s="38"/>
      <c r="H16" s="38"/>
    </row>
    <row r="17" spans="1:8" ht="30" customHeight="1" x14ac:dyDescent="0.25">
      <c r="B17" s="22" t="s">
        <v>197</v>
      </c>
      <c r="C17" s="38" t="s">
        <v>198</v>
      </c>
      <c r="D17" s="38"/>
      <c r="E17" s="38"/>
      <c r="F17" s="38"/>
      <c r="G17" s="38"/>
      <c r="H17" s="38"/>
    </row>
    <row r="18" spans="1:8" ht="30" customHeight="1" x14ac:dyDescent="0.25">
      <c r="B18" s="22" t="s">
        <v>199</v>
      </c>
      <c r="C18" s="38" t="s">
        <v>200</v>
      </c>
      <c r="D18" s="38"/>
      <c r="E18" s="38"/>
      <c r="F18" s="38"/>
      <c r="G18" s="38"/>
      <c r="H18" s="38"/>
    </row>
    <row r="20" spans="1:8" ht="33.75" customHeight="1" x14ac:dyDescent="0.25">
      <c r="A20" s="37" t="s">
        <v>201</v>
      </c>
      <c r="B20" s="37"/>
      <c r="C20" s="37"/>
      <c r="D20" s="37"/>
      <c r="E20" s="37"/>
      <c r="F20" s="37"/>
      <c r="G20" s="37"/>
      <c r="H20" s="37"/>
    </row>
  </sheetData>
  <sheetProtection sheet="1" objects="1" scenarios="1" selectLockedCells="1"/>
  <mergeCells count="16">
    <mergeCell ref="A1:H1"/>
    <mergeCell ref="A2:H2"/>
    <mergeCell ref="A4:H4"/>
    <mergeCell ref="A6:H6"/>
    <mergeCell ref="B7:H7"/>
    <mergeCell ref="B8:H8"/>
    <mergeCell ref="B9:H9"/>
    <mergeCell ref="B10:H10"/>
    <mergeCell ref="B11:H11"/>
    <mergeCell ref="B12:H12"/>
    <mergeCell ref="A20:H20"/>
    <mergeCell ref="A14:H14"/>
    <mergeCell ref="C15:H15"/>
    <mergeCell ref="C16:H16"/>
    <mergeCell ref="C17:H17"/>
    <mergeCell ref="C18:H18"/>
  </mergeCells>
  <hyperlinks>
    <hyperlink ref="J1" location="'Stretch'!A1" display="Next  ▶" xr:uid="{00000000-0004-0000-0700-000000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J1000"/>
  <sheetViews>
    <sheetView showGridLines="0" zoomScaleNormal="100" workbookViewId="0">
      <selection activeCell="C9" sqref="C9"/>
    </sheetView>
  </sheetViews>
  <sheetFormatPr defaultColWidth="14.42578125" defaultRowHeight="15" x14ac:dyDescent="0.25"/>
  <cols>
    <col min="1" max="1" width="3" customWidth="1"/>
    <col min="2" max="2" width="52" customWidth="1"/>
    <col min="3" max="4" width="16" customWidth="1"/>
    <col min="5" max="5" width="40" customWidth="1"/>
    <col min="6" max="8" width="8.7109375" customWidth="1"/>
    <col min="9" max="9" width="1.5703125" customWidth="1"/>
    <col min="10" max="10" width="52" customWidth="1"/>
  </cols>
  <sheetData>
    <row r="1" spans="1:10" ht="30" customHeight="1" x14ac:dyDescent="0.25">
      <c r="A1" s="33" t="s">
        <v>202</v>
      </c>
      <c r="B1" s="33"/>
      <c r="C1" s="33"/>
      <c r="D1" s="33"/>
      <c r="E1" s="33"/>
      <c r="J1" s="25" t="s">
        <v>3</v>
      </c>
    </row>
    <row r="2" spans="1:10" ht="21.75" customHeight="1" x14ac:dyDescent="0.25">
      <c r="A2" s="34" t="s">
        <v>203</v>
      </c>
      <c r="B2" s="34"/>
      <c r="C2" s="34"/>
      <c r="D2" s="34"/>
      <c r="E2" s="34"/>
    </row>
    <row r="4" spans="1:10" ht="27.75" customHeight="1" x14ac:dyDescent="0.25">
      <c r="A4" s="30" t="s">
        <v>204</v>
      </c>
      <c r="B4" s="30"/>
      <c r="C4" s="30"/>
      <c r="D4" s="30"/>
      <c r="E4" s="30"/>
    </row>
    <row r="6" spans="1:10" ht="24" customHeight="1" x14ac:dyDescent="0.25">
      <c r="A6" s="31" t="s">
        <v>205</v>
      </c>
      <c r="B6" s="31"/>
      <c r="C6" s="31"/>
      <c r="D6" s="31"/>
      <c r="E6" s="31"/>
    </row>
    <row r="7" spans="1:10" ht="18" customHeight="1" x14ac:dyDescent="0.25">
      <c r="B7" s="23" t="s">
        <v>48</v>
      </c>
      <c r="C7" s="20" t="s">
        <v>49</v>
      </c>
      <c r="D7" s="20" t="s">
        <v>50</v>
      </c>
      <c r="J7" s="8" t="s">
        <v>145</v>
      </c>
    </row>
    <row r="8" spans="1:10" ht="30" customHeight="1" x14ac:dyDescent="0.25">
      <c r="B8" s="21" t="s">
        <v>206</v>
      </c>
      <c r="C8" s="24"/>
      <c r="D8" s="9" t="str">
        <f>IF(C8="","",IFERROR(IF(ABS(C8-20)&lt;0.01,"✓  Correct","✗  Try again"),"✗  Try again"))</f>
        <v/>
      </c>
      <c r="J8" s="1" t="s">
        <v>207</v>
      </c>
    </row>
    <row r="9" spans="1:10" ht="30" customHeight="1" x14ac:dyDescent="0.25">
      <c r="B9" s="21" t="s">
        <v>208</v>
      </c>
      <c r="C9" s="24"/>
      <c r="D9" s="9" t="str">
        <f>IF(C9="","",IFERROR(IF(ABS(C9-10)&lt;0.01,"✓  Correct","✗  Try again"),"✗  Try again"))</f>
        <v/>
      </c>
      <c r="J9" s="1" t="s">
        <v>209</v>
      </c>
    </row>
    <row r="11" spans="1:10" ht="25.5" customHeight="1" x14ac:dyDescent="0.25">
      <c r="A11" s="42" t="s">
        <v>210</v>
      </c>
      <c r="B11" s="42"/>
      <c r="C11" s="42"/>
      <c r="D11" s="42"/>
      <c r="E11" s="42"/>
    </row>
    <row r="13" spans="1:10" ht="24" customHeight="1" x14ac:dyDescent="0.25">
      <c r="A13" s="31" t="s">
        <v>211</v>
      </c>
      <c r="B13" s="31"/>
      <c r="C13" s="31"/>
      <c r="D13" s="31"/>
      <c r="E13" s="31"/>
    </row>
    <row r="14" spans="1:10" ht="42" customHeight="1" x14ac:dyDescent="0.25">
      <c r="B14" s="26" t="s">
        <v>212</v>
      </c>
      <c r="C14" s="26"/>
      <c r="D14" s="36"/>
      <c r="E14" s="36"/>
    </row>
    <row r="15" spans="1:10" ht="42" customHeight="1" x14ac:dyDescent="0.25">
      <c r="B15" s="26" t="s">
        <v>213</v>
      </c>
      <c r="C15" s="26"/>
      <c r="D15" s="36"/>
      <c r="E15" s="36"/>
    </row>
    <row r="16" spans="1:10" ht="42" customHeight="1" x14ac:dyDescent="0.25">
      <c r="B16" s="26" t="s">
        <v>214</v>
      </c>
      <c r="C16" s="26"/>
      <c r="D16" s="36"/>
      <c r="E16" s="36"/>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2">
    <mergeCell ref="A1:E1"/>
    <mergeCell ref="A2:E2"/>
    <mergeCell ref="A4:E4"/>
    <mergeCell ref="A6:E6"/>
    <mergeCell ref="A11:E11"/>
    <mergeCell ref="B16:C16"/>
    <mergeCell ref="D16:E16"/>
    <mergeCell ref="A13:E13"/>
    <mergeCell ref="B14:C14"/>
    <mergeCell ref="D14:E14"/>
    <mergeCell ref="B15:C15"/>
    <mergeCell ref="D15:E15"/>
  </mergeCells>
  <conditionalFormatting sqref="D8:D9">
    <cfRule type="expression" dxfId="1" priority="2">
      <formula>ISNUMBER(SEARCH("Correct",D8))</formula>
    </cfRule>
    <cfRule type="expression" dxfId="0" priority="3">
      <formula>ISNUMBER(SEARCH("Try",D8))</formula>
    </cfRule>
  </conditionalFormatting>
  <hyperlinks>
    <hyperlink ref="J1" location="'Confidence &amp; Next Steps'!A1" display="Next  ▶" xr:uid="{00000000-0004-0000-0800-000000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sheetPr>
  <dimension ref="A1:X1000"/>
  <sheetViews>
    <sheetView showGridLines="0" zoomScaleNormal="100" workbookViewId="0">
      <selection activeCell="E18" sqref="E18"/>
    </sheetView>
  </sheetViews>
  <sheetFormatPr defaultColWidth="14.42578125" defaultRowHeight="15" x14ac:dyDescent="0.25"/>
  <cols>
    <col min="1" max="1" width="3" customWidth="1"/>
    <col min="2" max="2" width="50" customWidth="1"/>
    <col min="3" max="5" width="16" customWidth="1"/>
    <col min="6" max="6" width="43.28515625" customWidth="1"/>
    <col min="7" max="7" width="14" customWidth="1"/>
    <col min="8" max="8" width="8.7109375" customWidth="1"/>
    <col min="10" max="22" width="3.42578125" customWidth="1"/>
    <col min="24" max="24" width="18" customWidth="1"/>
  </cols>
  <sheetData>
    <row r="1" spans="1:24" ht="30" customHeight="1" x14ac:dyDescent="0.25">
      <c r="A1" s="33" t="s">
        <v>215</v>
      </c>
      <c r="B1" s="33"/>
      <c r="C1" s="33"/>
      <c r="D1" s="33"/>
      <c r="E1" s="33"/>
      <c r="F1" s="33"/>
      <c r="J1" s="2" t="s">
        <v>1</v>
      </c>
    </row>
    <row r="2" spans="1:24" ht="21.75" customHeight="1" x14ac:dyDescent="0.25">
      <c r="A2" s="34" t="s">
        <v>216</v>
      </c>
      <c r="B2" s="34"/>
      <c r="C2" s="34"/>
      <c r="D2" s="34"/>
      <c r="E2" s="34"/>
      <c r="F2" s="34"/>
      <c r="J2" s="3">
        <v>1</v>
      </c>
      <c r="K2" s="4">
        <v>2</v>
      </c>
      <c r="L2" s="4">
        <v>3</v>
      </c>
      <c r="M2" s="4">
        <v>4</v>
      </c>
      <c r="N2" s="4">
        <v>5</v>
      </c>
      <c r="O2" s="4">
        <v>6</v>
      </c>
      <c r="P2" s="4">
        <v>7</v>
      </c>
      <c r="Q2" s="4">
        <v>8</v>
      </c>
      <c r="R2" s="4">
        <v>9</v>
      </c>
      <c r="S2" s="4">
        <v>10</v>
      </c>
      <c r="T2" s="4">
        <v>11</v>
      </c>
      <c r="U2" s="4">
        <v>12</v>
      </c>
      <c r="V2" s="4">
        <v>13</v>
      </c>
      <c r="X2" s="5" t="s">
        <v>217</v>
      </c>
    </row>
    <row r="4" spans="1:24" ht="24" customHeight="1" x14ac:dyDescent="0.25">
      <c r="A4" s="31" t="s">
        <v>218</v>
      </c>
      <c r="B4" s="31"/>
      <c r="C4" s="31"/>
      <c r="D4" s="31"/>
      <c r="E4" s="31"/>
      <c r="F4" s="31"/>
      <c r="G4" s="31"/>
      <c r="H4" s="31"/>
    </row>
    <row r="5" spans="1:24" ht="18" customHeight="1" x14ac:dyDescent="0.25">
      <c r="A5" s="30" t="s">
        <v>219</v>
      </c>
      <c r="B5" s="30"/>
      <c r="C5" s="30"/>
      <c r="D5" s="30"/>
      <c r="E5" s="30"/>
      <c r="F5" s="30"/>
      <c r="G5" s="30"/>
      <c r="H5" s="30"/>
    </row>
    <row r="6" spans="1:24" ht="24" customHeight="1" x14ac:dyDescent="0.25">
      <c r="C6" s="24"/>
      <c r="D6" s="26" t="s">
        <v>220</v>
      </c>
      <c r="E6" s="26"/>
      <c r="F6" s="26"/>
    </row>
    <row r="7" spans="1:24" ht="24" customHeight="1" x14ac:dyDescent="0.25">
      <c r="C7" s="24"/>
      <c r="D7" s="26" t="s">
        <v>221</v>
      </c>
      <c r="E7" s="26"/>
      <c r="F7" s="26"/>
    </row>
    <row r="8" spans="1:24" ht="24" customHeight="1" x14ac:dyDescent="0.25">
      <c r="C8" s="24"/>
      <c r="D8" s="26" t="s">
        <v>222</v>
      </c>
      <c r="E8" s="26"/>
      <c r="F8" s="26"/>
    </row>
    <row r="9" spans="1:24" ht="24" customHeight="1" x14ac:dyDescent="0.25">
      <c r="C9" s="24"/>
      <c r="D9" s="26" t="s">
        <v>223</v>
      </c>
      <c r="E9" s="26"/>
      <c r="F9" s="26"/>
    </row>
    <row r="10" spans="1:24" ht="24" customHeight="1" x14ac:dyDescent="0.25">
      <c r="C10" s="24"/>
      <c r="D10" s="26" t="s">
        <v>224</v>
      </c>
      <c r="E10" s="26"/>
      <c r="F10" s="26"/>
    </row>
    <row r="12" spans="1:24" ht="24" customHeight="1" x14ac:dyDescent="0.25">
      <c r="A12" s="31" t="s">
        <v>225</v>
      </c>
      <c r="B12" s="31"/>
      <c r="C12" s="31"/>
      <c r="D12" s="31"/>
      <c r="E12" s="31"/>
      <c r="F12" s="31"/>
      <c r="G12" s="31"/>
      <c r="H12" s="31"/>
    </row>
    <row r="13" spans="1:24" ht="18" customHeight="1" x14ac:dyDescent="0.25">
      <c r="A13" s="30" t="s">
        <v>226</v>
      </c>
      <c r="B13" s="30"/>
      <c r="C13" s="30"/>
      <c r="D13" s="30"/>
      <c r="E13" s="30"/>
      <c r="F13" s="30"/>
      <c r="G13" s="30"/>
      <c r="H13" s="30"/>
    </row>
    <row r="14" spans="1:24" ht="18" customHeight="1" x14ac:dyDescent="0.25">
      <c r="B14" s="29" t="s">
        <v>17</v>
      </c>
      <c r="C14" s="29"/>
      <c r="D14" s="29"/>
      <c r="E14" s="6" t="s">
        <v>227</v>
      </c>
    </row>
    <row r="15" spans="1:24" ht="21.75" customHeight="1" x14ac:dyDescent="0.25">
      <c r="B15" s="26" t="s">
        <v>19</v>
      </c>
      <c r="C15" s="26"/>
      <c r="D15" s="26"/>
      <c r="E15" s="24"/>
    </row>
    <row r="16" spans="1:24" ht="21.75" customHeight="1" x14ac:dyDescent="0.25">
      <c r="B16" s="26" t="s">
        <v>20</v>
      </c>
      <c r="C16" s="26"/>
      <c r="D16" s="26"/>
      <c r="E16" s="24"/>
    </row>
    <row r="17" spans="2:6" ht="21.75" customHeight="1" x14ac:dyDescent="0.25">
      <c r="B17" s="26" t="s">
        <v>21</v>
      </c>
      <c r="C17" s="26"/>
      <c r="D17" s="26"/>
      <c r="E17" s="24"/>
    </row>
    <row r="18" spans="2:6" ht="21.75" customHeight="1" x14ac:dyDescent="0.25">
      <c r="B18" s="26" t="s">
        <v>22</v>
      </c>
      <c r="C18" s="26"/>
      <c r="D18" s="26"/>
      <c r="E18" s="24"/>
    </row>
    <row r="20" spans="2:6" ht="15" customHeight="1" x14ac:dyDescent="0.25">
      <c r="B20" s="32" t="s">
        <v>228</v>
      </c>
      <c r="C20" s="32"/>
      <c r="D20" s="32"/>
      <c r="E20" s="32"/>
      <c r="F20" s="32"/>
    </row>
    <row r="21" spans="2:6" ht="15.75" customHeight="1" x14ac:dyDescent="0.25">
      <c r="B21" s="32"/>
      <c r="C21" s="32"/>
      <c r="D21" s="32"/>
      <c r="E21" s="32"/>
      <c r="F21" s="32"/>
    </row>
    <row r="22" spans="2:6" ht="15.75" customHeight="1" x14ac:dyDescent="0.25">
      <c r="B22" s="32"/>
      <c r="C22" s="32"/>
      <c r="D22" s="32"/>
      <c r="E22" s="32"/>
      <c r="F22" s="32"/>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A1:F1"/>
    <mergeCell ref="A2:F2"/>
    <mergeCell ref="A4:H4"/>
    <mergeCell ref="A5:H5"/>
    <mergeCell ref="D6:F6"/>
    <mergeCell ref="D7:F7"/>
    <mergeCell ref="D8:F8"/>
    <mergeCell ref="D9:F9"/>
    <mergeCell ref="D10:F10"/>
    <mergeCell ref="A12:H12"/>
    <mergeCell ref="B18:D18"/>
    <mergeCell ref="B20:F22"/>
    <mergeCell ref="A13:H13"/>
    <mergeCell ref="B14:D14"/>
    <mergeCell ref="B15:D15"/>
    <mergeCell ref="B16:D16"/>
    <mergeCell ref="B17:D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The EPA Explained</vt:lpstr>
      <vt:lpstr>Members</vt:lpstr>
      <vt:lpstr>Bookings</vt:lpstr>
      <vt:lpstr>Payments</vt:lpstr>
      <vt:lpstr>Task - Access &amp; Examine</vt:lpstr>
      <vt:lpstr>Support</vt:lpstr>
      <vt:lpstr>Rescue - If It Goes Wrong</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2026-06-10T13:07:27Z</dcterms:created>
  <dcterms:modified xsi:type="dcterms:W3CDTF">2026-06-22T20:14:10Z</dcterms:modified>
  <dc:language>en-US</dc:language>
</cp:coreProperties>
</file>