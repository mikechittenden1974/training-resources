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ow Excel Sees Dates" sheetId="2" state="visible" r:id="rId2"/>
    <sheet xmlns:r="http://schemas.openxmlformats.org/officeDocument/2006/relationships" name="Warm-up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Task 1 - Build &amp; Read" sheetId="5" state="visible" r:id="rId5"/>
    <sheet xmlns:r="http://schemas.openxmlformats.org/officeDocument/2006/relationships" name="Task 2 - Durations" sheetId="6" state="visible" r:id="rId6"/>
    <sheet xmlns:r="http://schemas.openxmlformats.org/officeDocument/2006/relationships" name="Task 3 - DATEDIF" sheetId="7" state="visible" r:id="rId7"/>
    <sheet xmlns:r="http://schemas.openxmlformats.org/officeDocument/2006/relationships" name="Task 4 - Month-ends" sheetId="8" state="visible" r:id="rId8"/>
    <sheet xmlns:r="http://schemas.openxmlformats.org/officeDocument/2006/relationships" name="Task 5 - Messy Dates" sheetId="9" state="visible" r:id="rId9"/>
    <sheet xmlns:r="http://schemas.openxmlformats.org/officeDocument/2006/relationships" name="Support" sheetId="10" state="visible" r:id="rId10"/>
    <sheet xmlns:r="http://schemas.openxmlformats.org/officeDocument/2006/relationships" name="Stretch" sheetId="11" state="visible" r:id="rId11"/>
    <sheet xmlns:r="http://schemas.openxmlformats.org/officeDocument/2006/relationships" name="Confid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2">
    <font>
      <name val="Calibri"/>
      <family val="2"/>
      <color theme="1"/>
      <sz val="11"/>
      <scheme val="minor"/>
    </font>
    <font>
      <b val="1"/>
      <color rgb="FFFFFFFF"/>
      <sz val="18"/>
    </font>
    <font>
      <color rgb="FFFFFFFF"/>
      <sz val="11"/>
    </font>
    <font>
      <name val="Calibri"/>
      <color rgb="FF000000"/>
      <sz val="11"/>
    </font>
    <font>
      <b val="1"/>
      <color rgb="FF5B2A86"/>
      <sz val="10"/>
    </font>
    <font>
      <b val="1"/>
      <color rgb="FF5B2A86"/>
      <sz val="11"/>
    </font>
    <font>
      <sz val="10.5"/>
    </font>
    <font>
      <b val="1"/>
      <sz val="12"/>
    </font>
    <font>
      <sz val="11"/>
    </font>
    <font>
      <b val="1"/>
      <sz val="10"/>
    </font>
    <font>
      <name val="Consolas"/>
      <sz val="10.5"/>
    </font>
    <font>
      <name val="Calibri"/>
      <i val="1"/>
      <color rgb="FF000000"/>
      <sz val="10.5"/>
    </font>
    <font>
      <name val="Calibri"/>
      <color rgb="FF000000"/>
      <sz val="10.5"/>
    </font>
    <font>
      <b val="1"/>
      <color rgb="FFB00020"/>
      <sz val="10"/>
    </font>
    <font>
      <name val="Calibri"/>
      <b val="1"/>
      <color rgb="FF5B2A86"/>
      <sz val="12"/>
    </font>
    <font>
      <b val="1"/>
      <color rgb="FFFFFFFF"/>
    </font>
    <font>
      <name val="Consolas"/>
      <color rgb="FF000000"/>
      <sz val="10.5"/>
    </font>
    <font>
      <name val="Calibri"/>
      <b val="1"/>
      <color rgb="FF5B2A86"/>
      <sz val="11"/>
    </font>
    <font>
      <name val="Consolas"/>
      <sz val="9.5"/>
    </font>
    <font>
      <b val="1"/>
    </font>
    <font>
      <b val="1"/>
      <color rgb="FF548235"/>
      <sz val="13"/>
    </font>
    <font>
      <b val="1"/>
      <color rgb="FF5B2A86"/>
      <sz val="12"/>
    </font>
  </fonts>
  <fills count="8">
    <fill>
      <patternFill/>
    </fill>
    <fill>
      <patternFill patternType="gray125"/>
    </fill>
    <fill>
      <patternFill patternType="solid">
        <fgColor rgb="FF5B2A86"/>
      </patternFill>
    </fill>
    <fill>
      <patternFill patternType="solid">
        <fgColor rgb="FF8E5BB5"/>
      </patternFill>
    </fill>
    <fill>
      <patternFill patternType="solid">
        <fgColor rgb="FFF1E9F7"/>
      </patternFill>
    </fill>
    <fill>
      <patternFill patternType="solid">
        <fgColor rgb="FFEDE4F5"/>
      </patternFill>
    </fill>
    <fill>
      <patternFill patternType="solid">
        <fgColor rgb="FFFBE9E7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left style="thin">
        <color rgb="FFD9CCE6"/>
      </left>
      <right style="thin">
        <color rgb="FFD9CCE6"/>
      </right>
      <top style="thin">
        <color rgb="FFD9CCE6"/>
      </top>
      <bottom style="thin">
        <color rgb="FFD9CCE6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9" fillId="4" borderId="0" pivotButton="0" quotePrefix="0" xfId="0"/>
    <xf numFmtId="0" fontId="6" fillId="0" borderId="1" pivotButton="0" quotePrefix="0" xfId="0"/>
    <xf numFmtId="0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6" borderId="0" pivotButton="0" quotePrefix="0" xfId="0"/>
    <xf numFmtId="0" fontId="0" fillId="6" borderId="0" pivotButton="0" quotePrefix="0" xfId="0"/>
    <xf numFmtId="0" fontId="14" fillId="0" borderId="0" applyAlignment="1" pivotButton="0" quotePrefix="0" xfId="0">
      <alignment vertical="top" wrapText="1"/>
    </xf>
    <xf numFmtId="0" fontId="15" fillId="2" borderId="0" pivotButton="0" quotePrefix="0" xfId="0"/>
    <xf numFmtId="164" fontId="0" fillId="0" borderId="0" pivotButton="0" quotePrefix="0" xfId="0"/>
    <xf numFmtId="0" fontId="16" fillId="5" borderId="0" applyAlignment="1" pivotButton="0" quotePrefix="1" xfId="0">
      <alignment vertical="top" wrapText="1"/>
    </xf>
    <xf numFmtId="0" fontId="17" fillId="0" borderId="0" applyAlignment="1" pivotButton="0" quotePrefix="0" xfId="0">
      <alignment vertical="top" wrapText="1"/>
    </xf>
    <xf numFmtId="0" fontId="15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0" fillId="7" borderId="1" pivotButton="0" quotePrefix="0" xfId="0"/>
    <xf numFmtId="0" fontId="19" fillId="0" borderId="0" pivotButton="0" quotePrefix="0" xfId="0"/>
    <xf numFmtId="0" fontId="19" fillId="4" borderId="0" pivotButton="0" quotePrefix="0" xfId="0"/>
    <xf numFmtId="164" fontId="0" fillId="0" borderId="0" pivotButton="0" quotePrefix="0" xfId="0"/>
    <xf numFmtId="0" fontId="15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8" fillId="0" borderId="0" pivotButton="0" quotePrefix="0" xfId="0"/>
    <xf numFmtId="0" fontId="8" fillId="0" borderId="0" applyAlignment="1" pivotButton="0" quotePrefix="0" xfId="0">
      <alignment vertical="center" wrapText="1"/>
    </xf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5B2A86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9" customWidth="1" min="8" max="8"/>
  </cols>
  <sheetData>
    <row r="1" ht="26" customHeight="1">
      <c r="A1" s="1" t="inlineStr">
        <is>
          <t>Working with Dates</t>
        </is>
      </c>
    </row>
    <row r="2">
      <c r="A2" s="2" t="inlineStr">
        <is>
          <t>Build, read, and calculate with dates in Excel</t>
        </is>
      </c>
    </row>
    <row r="4" ht="66" customHeight="1">
      <c r="A4" s="3" t="inlineStr">
        <is>
          <t>Dates are everywhere in real data — order dates, deadlines, durations — and they trip people up more than any other type. The reason is a single surprising fact you'll meet on the next sheet: to Excel, a date is really just a NUMBER. Once that clicks, everything else (subtracting dates, finding month-ends, calculating ages) becomes simple arithmetic.</t>
        </is>
      </c>
    </row>
    <row r="6" ht="16" customHeight="1">
      <c r="A6" s="4" t="inlineStr">
        <is>
          <t>WHAT THIS DRILL COVERS</t>
        </is>
      </c>
      <c r="B6" s="5" t="n"/>
      <c r="C6" s="5" t="n"/>
      <c r="D6" s="5" t="n"/>
      <c r="E6" s="5" t="n"/>
      <c r="F6" s="5" t="n"/>
      <c r="G6" s="5" t="n"/>
      <c r="H6" s="5" t="n"/>
    </row>
    <row r="7" ht="20" customHeight="1">
      <c r="A7" s="6" t="inlineStr">
        <is>
          <t>Serial numbers</t>
        </is>
      </c>
      <c r="C7" s="7" t="inlineStr">
        <is>
          <t>Why a date is secretly a number — the idea everything else rests on.</t>
        </is>
      </c>
    </row>
    <row r="8" ht="20" customHeight="1">
      <c r="A8" s="6" t="inlineStr">
        <is>
          <t>DATE / YEAR / MONTH / DAY</t>
        </is>
      </c>
      <c r="C8" s="7" t="inlineStr">
        <is>
          <t>Build a date from parts, and pull the parts back out.</t>
        </is>
      </c>
    </row>
    <row r="9" ht="20" customHeight="1">
      <c r="A9" s="6" t="inlineStr">
        <is>
          <t>Date arithmetic</t>
        </is>
      </c>
      <c r="C9" s="7" t="inlineStr">
        <is>
          <t>Subtract dates for durations; DATEDIF for months and years between.</t>
        </is>
      </c>
    </row>
    <row r="10" ht="20" customHeight="1">
      <c r="A10" s="6" t="inlineStr">
        <is>
          <t>EOMONTH &amp; TODAY</t>
        </is>
      </c>
      <c r="C10" s="7" t="inlineStr">
        <is>
          <t>Find month-ends (for reporting periods) and today's date.</t>
        </is>
      </c>
    </row>
    <row r="11" ht="20" customHeight="1">
      <c r="A11" s="6" t="inlineStr">
        <is>
          <t>Messy dates</t>
        </is>
      </c>
      <c r="C11" s="7" t="inlineStr">
        <is>
          <t>Spot text that only looks like a date, and why it won't calculate.</t>
        </is>
      </c>
    </row>
    <row r="13">
      <c r="A13" s="8" t="inlineStr">
        <is>
          <t>How this drill works</t>
        </is>
      </c>
    </row>
    <row r="14" ht="21" customHeight="1">
      <c r="A14" s="9" t="inlineStr">
        <is>
          <t>•  Read 'How Excel Sees Dates' first — it's the key that unlocks the rest.</t>
        </is>
      </c>
    </row>
    <row r="15" ht="21" customHeight="1">
      <c r="A15" s="9" t="inlineStr">
        <is>
          <t>•  Then work Tasks 1–5 on the Project Tasks data.</t>
        </is>
      </c>
    </row>
    <row r="16" ht="21" customHeight="1">
      <c r="A16" s="9" t="inlineStr">
        <is>
          <t>•  Type your formula in the amber cell — the Check column marks it ✓ or ✗ instantly.</t>
        </is>
      </c>
    </row>
    <row r="17" ht="21" customHeight="1">
      <c r="A17" s="9" t="inlineStr">
        <is>
          <t>•  Support is your glossary. Stretch goes further. Confidence gate at the end.</t>
        </is>
      </c>
    </row>
  </sheetData>
  <mergeCells count="12">
    <mergeCell ref="A4:H4"/>
    <mergeCell ref="C11:H11"/>
    <mergeCell ref="C10:H10"/>
    <mergeCell ref="A15:H15"/>
    <mergeCell ref="A2:H2"/>
    <mergeCell ref="C9:H9"/>
    <mergeCell ref="A16:H16"/>
    <mergeCell ref="C8:H8"/>
    <mergeCell ref="A14:H14"/>
    <mergeCell ref="A1:H1"/>
    <mergeCell ref="C7:H7"/>
    <mergeCell ref="A17:H17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FF2E8B8B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3" customWidth="1" min="3" max="3"/>
    <col width="14" customWidth="1" min="4" max="4"/>
    <col width="3" customWidth="1" min="5" max="5"/>
    <col width="12" customWidth="1" min="6" max="6"/>
    <col width="12" customWidth="1" min="7" max="7"/>
    <col width="8" customWidth="1" min="8" max="8"/>
  </cols>
  <sheetData>
    <row r="1" ht="26" customHeight="1">
      <c r="A1" s="1" t="inlineStr">
        <is>
          <t>How Excel Sees Dates</t>
        </is>
      </c>
    </row>
    <row r="2">
      <c r="A2" s="2" t="inlineStr">
        <is>
          <t>Read this first — the one idea that makes dates simple</t>
        </is>
      </c>
    </row>
    <row r="4" ht="16" customHeight="1">
      <c r="A4" s="4" t="inlineStr">
        <is>
          <t>THE SURPRISE: A DATE IS REALLY A NUMBER</t>
        </is>
      </c>
      <c r="B4" s="5" t="n"/>
      <c r="C4" s="5" t="n"/>
      <c r="D4" s="5" t="n"/>
      <c r="E4" s="5" t="n"/>
      <c r="F4" s="5" t="n"/>
      <c r="G4" s="5" t="n"/>
      <c r="H4" s="5" t="n"/>
    </row>
    <row r="5" ht="66" customHeight="1">
      <c r="A5" s="3" t="inlineStr">
        <is>
          <t>Excel doesn't store '15 March 2024' as words. It stores the NUMBER 45366 — the count of days since its starting point of 1 January 1900. The date you see on screen is just that number wearing a 'date' costume (a cell format). Change the format to Number and 45366 is what's underneath.</t>
        </is>
      </c>
    </row>
    <row r="7" ht="16" customHeight="1">
      <c r="A7" s="10" t="inlineStr">
        <is>
          <t>SEE IT — THE SAME DATES AS NUMBERS</t>
        </is>
      </c>
      <c r="B7" s="11" t="n"/>
      <c r="C7" s="11" t="n"/>
      <c r="D7" s="11" t="n"/>
      <c r="E7" s="11" t="n"/>
      <c r="F7" s="11" t="n"/>
      <c r="G7" s="11" t="n"/>
      <c r="H7" s="11" t="n"/>
    </row>
    <row r="8">
      <c r="B8" s="12" t="inlineStr">
        <is>
          <t>Date</t>
        </is>
      </c>
      <c r="D8" s="12" t="inlineStr">
        <is>
          <t>Stored as</t>
        </is>
      </c>
    </row>
    <row r="9">
      <c r="B9" s="13" t="inlineStr">
        <is>
          <t>1 January 2024</t>
        </is>
      </c>
      <c r="D9" s="14" t="inlineStr">
        <is>
          <t>45292</t>
        </is>
      </c>
    </row>
    <row r="10">
      <c r="B10" s="13" t="inlineStr">
        <is>
          <t>15 March 2024</t>
        </is>
      </c>
      <c r="D10" s="14" t="inlineStr">
        <is>
          <t>45366</t>
        </is>
      </c>
    </row>
    <row r="11">
      <c r="B11" s="13" t="inlineStr">
        <is>
          <t>31 December 2024</t>
        </is>
      </c>
      <c r="D11" s="14" t="inlineStr">
        <is>
          <t>45657</t>
        </is>
      </c>
    </row>
    <row r="12" ht="48" customHeight="1">
      <c r="A12" s="15" t="inlineStr">
        <is>
          <t>Notice 45657 − 45292 = 365. The numbers really are just day-counts, so the gap between two dates is the number of days between them. That single fact is why date maths works.</t>
        </is>
      </c>
    </row>
    <row r="14" ht="16" customHeight="1">
      <c r="A14" s="4" t="inlineStr">
        <is>
          <t>WHY THIS MATTERS — THREE THINGS SUDDENLY MAKE SENSE</t>
        </is>
      </c>
      <c r="B14" s="5" t="n"/>
      <c r="C14" s="5" t="n"/>
      <c r="D14" s="5" t="n"/>
      <c r="E14" s="5" t="n"/>
      <c r="F14" s="5" t="n"/>
      <c r="G14" s="5" t="n"/>
      <c r="H14" s="5" t="n"/>
    </row>
    <row r="15" ht="34" customHeight="1">
      <c r="A15" s="16" t="inlineStr">
        <is>
          <t>1.  Subtracting dates gives days.   =End − Start   is just 45366 − 45355, plain subtraction.</t>
        </is>
      </c>
    </row>
    <row r="16" ht="34" customHeight="1">
      <c r="A16" s="16" t="inlineStr">
        <is>
          <t>2.  Dates sort correctly,  because 45292 comes before 45366 — Excel is only sorting numbers.</t>
        </is>
      </c>
    </row>
    <row r="17" ht="48" customHeight="1">
      <c r="A17" s="16" t="inlineStr">
        <is>
          <t>3.  A date can suddenly show as a number  (like 45366) — that's not broken, the cell just lost its date format. Re-apply a date format and it looks like a date again.</t>
        </is>
      </c>
    </row>
    <row r="19" ht="16" customHeight="1">
      <c r="A19" s="17" t="inlineStr">
        <is>
          <t>⚠  THE FLIP SIDE: TEXT THAT ONLY LOOKS LIKE A DATE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 ht="62" customHeight="1">
      <c r="A20" s="16" t="inlineStr">
        <is>
          <t>If a 'date' is actually TEXT (often imported that way), it has no secret number — so no date maths works on it, and it sorts in the wrong order. The tell-tale sign: real dates sit on the RIGHT of a cell by default (they're numbers); text-dates sit on the LEFT. You'll fix these in Task 5.</t>
        </is>
      </c>
    </row>
    <row r="22" ht="38" customHeight="1">
      <c r="A22" s="19" t="inlineStr">
        <is>
          <t>→  Now you understand what a date really is. Go to Task 1 and start building and reading them.</t>
        </is>
      </c>
    </row>
  </sheetData>
  <mergeCells count="9">
    <mergeCell ref="A12:H12"/>
    <mergeCell ref="A1:H1"/>
    <mergeCell ref="A15:H15"/>
    <mergeCell ref="A20:H20"/>
    <mergeCell ref="A2:H2"/>
    <mergeCell ref="A16:H16"/>
    <mergeCell ref="A5:H5"/>
    <mergeCell ref="A22:H22"/>
    <mergeCell ref="A17:H17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FF8E5BB5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0" customWidth="1" min="3" max="3"/>
    <col width="38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Warm-up</t>
        </is>
      </c>
    </row>
    <row r="2">
      <c r="A2" s="2" t="inlineStr">
        <is>
          <t>Prove to yourself that a date is a number</t>
        </is>
      </c>
    </row>
    <row r="4" ht="36" customHeight="1">
      <c r="A4" s="3" t="inlineStr">
        <is>
          <t>Two real dates are in B7 and B8. Try the tiny tasks below — they show the serial-number idea in action before you hit the real data.</t>
        </is>
      </c>
    </row>
    <row r="6">
      <c r="B6" s="29" t="inlineStr">
        <is>
          <t>Date</t>
        </is>
      </c>
    </row>
    <row r="7">
      <c r="B7" s="30" t="n">
        <v>45292</v>
      </c>
    </row>
    <row r="8">
      <c r="B8" s="30" t="n">
        <v>45322</v>
      </c>
    </row>
    <row r="14" ht="21" customHeight="1">
      <c r="B14" s="31" t="inlineStr">
        <is>
          <t>What to calculate</t>
        </is>
      </c>
      <c r="D14" s="31" t="inlineStr">
        <is>
          <t>Type this formula</t>
        </is>
      </c>
      <c r="F14" s="31" t="inlineStr">
        <is>
          <t>Your result</t>
        </is>
      </c>
      <c r="G14" s="31" t="inlineStr">
        <is>
          <t>Check</t>
        </is>
      </c>
    </row>
    <row r="15" ht="36" customHeight="1">
      <c r="B15" s="32" t="inlineStr">
        <is>
          <t>Days between the two dates (B8 − B7)</t>
        </is>
      </c>
      <c r="D15" s="33" t="inlineStr">
        <is>
          <t>e.g.  =B8-B7</t>
        </is>
      </c>
      <c r="F15" s="27" t="n"/>
      <c r="G15" s="28">
        <f>IF(F15="","",IFERROR(IF(ABS(F15-30)&lt;0.01,"✓  Correct","✗  Try again"),"✗  Try again"))</f>
        <v/>
      </c>
    </row>
    <row r="16" ht="26" customHeight="1">
      <c r="B16" s="32" t="inlineStr">
        <is>
          <t>The YEAR of the first date</t>
        </is>
      </c>
      <c r="D16" s="33" t="inlineStr">
        <is>
          <t>e.g.  =YEAR(B7)</t>
        </is>
      </c>
      <c r="F16" s="27" t="n"/>
      <c r="G16" s="28">
        <f>IF(F16="","",IFERROR(IF(ABS(F16-2024)&lt;0.01,"✓  Correct","✗  Try again"),"✗  Try again"))</f>
        <v/>
      </c>
    </row>
    <row r="17" ht="36" customHeight="1">
      <c r="B17" s="32" t="inlineStr">
        <is>
          <t>Build the date 1 January 2024 and see its number</t>
        </is>
      </c>
      <c r="D17" s="33" t="inlineStr">
        <is>
          <t>e.g.  =DATE(2024,1,1)</t>
        </is>
      </c>
      <c r="F17" s="27" t="n"/>
      <c r="G17" s="28">
        <f>IF(F17="","",IFERROR(IF(ABS(F17-45292)&lt;0.01,"✓  Correct","✗  Try again"),"✗  Try again"))</f>
        <v/>
      </c>
    </row>
  </sheetData>
  <mergeCells count="3">
    <mergeCell ref="A4:H4"/>
    <mergeCell ref="A2:H2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FF8B7E96"/>
    <outlinePr summaryBelow="1" summaryRight="1"/>
    <pageSetUpPr fitToPage="1"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3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6" customHeight="1">
      <c r="A1" s="1" t="inlineStr">
        <is>
          <t>Data — Project Tasks</t>
        </is>
      </c>
    </row>
    <row r="2">
      <c r="A2" s="2" t="inlineStr">
        <is>
          <t>6 tasks with start and end dates · used by every task</t>
        </is>
      </c>
    </row>
    <row r="4">
      <c r="A4" s="20" t="inlineStr">
        <is>
          <t>TaskID</t>
        </is>
      </c>
      <c r="B4" s="20" t="inlineStr">
        <is>
          <t>Task</t>
        </is>
      </c>
      <c r="C4" s="20" t="inlineStr">
        <is>
          <t>StartDate</t>
        </is>
      </c>
      <c r="D4" s="20" t="inlineStr">
        <is>
          <t>EndDate</t>
        </is>
      </c>
    </row>
    <row r="5">
      <c r="A5" t="inlineStr">
        <is>
          <t>T-1</t>
        </is>
      </c>
      <c r="B5" t="inlineStr">
        <is>
          <t>Design</t>
        </is>
      </c>
      <c r="C5" s="30" t="n">
        <v>45299</v>
      </c>
      <c r="D5" s="30" t="n">
        <v>45310</v>
      </c>
    </row>
    <row r="6">
      <c r="A6" t="inlineStr">
        <is>
          <t>T-2</t>
        </is>
      </c>
      <c r="B6" t="inlineStr">
        <is>
          <t>Build</t>
        </is>
      </c>
      <c r="C6" s="30" t="n">
        <v>45313</v>
      </c>
      <c r="D6" s="30" t="n">
        <v>45338</v>
      </c>
    </row>
    <row r="7">
      <c r="A7" t="inlineStr">
        <is>
          <t>T-3</t>
        </is>
      </c>
      <c r="B7" t="inlineStr">
        <is>
          <t>Test</t>
        </is>
      </c>
      <c r="C7" s="30" t="n">
        <v>45341</v>
      </c>
      <c r="D7" s="30" t="n">
        <v>45352</v>
      </c>
    </row>
    <row r="8">
      <c r="A8" t="inlineStr">
        <is>
          <t>T-4</t>
        </is>
      </c>
      <c r="B8" t="inlineStr">
        <is>
          <t>Review</t>
        </is>
      </c>
      <c r="C8" s="30" t="n">
        <v>45355</v>
      </c>
      <c r="D8" s="30" t="n">
        <v>45359</v>
      </c>
    </row>
    <row r="9">
      <c r="A9" t="inlineStr">
        <is>
          <t>T-5</t>
        </is>
      </c>
      <c r="B9" t="inlineStr">
        <is>
          <t>Launch</t>
        </is>
      </c>
      <c r="C9" s="30" t="n">
        <v>45362</v>
      </c>
      <c r="D9" s="30" t="n">
        <v>45366</v>
      </c>
    </row>
    <row r="10">
      <c r="A10" t="inlineStr">
        <is>
          <t>T-6</t>
        </is>
      </c>
      <c r="B10" t="inlineStr">
        <is>
          <t>Handover</t>
        </is>
      </c>
      <c r="C10" s="30" t="n">
        <v>45369</v>
      </c>
      <c r="D10" s="30" t="n">
        <v>45380</v>
      </c>
    </row>
    <row r="12" ht="48" customHeight="1">
      <c r="A12" s="16" t="inlineStr">
        <is>
          <t>These are real dates (right-aligned, so Excel knows they're numbers underneath). StartDate is column C, EndDate is column D. Data runs rows 5 to 10.</t>
        </is>
      </c>
    </row>
  </sheetData>
  <mergeCells count="3">
    <mergeCell ref="A12:H12"/>
    <mergeCell ref="A2:H2"/>
    <mergeCell ref="A1:H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FF7B4BA8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38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Task 1 — Build and read dates</t>
        </is>
      </c>
    </row>
    <row r="2">
      <c r="A2" s="2" t="inlineStr">
        <is>
          <t>DATE, YEAR, MONTH, DAY</t>
        </is>
      </c>
    </row>
    <row r="4" ht="16" customHeight="1">
      <c r="A4" s="4" t="inlineStr">
        <is>
          <t>WHAT IT DOES</t>
        </is>
      </c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3" t="inlineStr">
        <is>
          <t>DATE(year, month, day) builds a proper date from three numbers. Going the other way, YEAR(), MONTH() and DAY() pull each part back out of a date. These are how you construct dates and break them apart.</t>
        </is>
      </c>
    </row>
    <row r="6" ht="16" customHeight="1">
      <c r="A6" s="4" t="inlineStr">
        <is>
          <t>WORKED EXAMPLE</t>
        </is>
      </c>
      <c r="B6" s="5" t="n"/>
      <c r="C6" s="5" t="n"/>
      <c r="D6" s="5" t="n"/>
      <c r="E6" s="5" t="n"/>
      <c r="F6" s="5" t="n"/>
      <c r="G6" s="5" t="n"/>
      <c r="H6" s="5" t="n"/>
    </row>
    <row r="7" ht="20" customHeight="1">
      <c r="A7" s="22" t="inlineStr">
        <is>
          <t>=DATE(2024, 3, 15)   →   15/03/2024     (and  =MONTH(DATE(2024,3,15))  →  3)</t>
        </is>
      </c>
    </row>
    <row r="8" ht="20" customHeight="1">
      <c r="A8" s="15" t="inlineStr">
        <is>
          <t>DATE assembles the parts into a real date; MONTH/YEAR/DAY extract a single part as a number.</t>
        </is>
      </c>
    </row>
    <row r="9" ht="16" customHeight="1">
      <c r="A9" s="17" t="inlineStr">
        <is>
          <t>⚠  COMMON MISTAKE</t>
        </is>
      </c>
      <c r="B9" s="18" t="n"/>
      <c r="C9" s="18" t="n"/>
      <c r="D9" s="18" t="n"/>
      <c r="E9" s="18" t="n"/>
      <c r="F9" s="18" t="n"/>
      <c r="G9" s="18" t="n"/>
      <c r="H9" s="18" t="n"/>
    </row>
    <row r="10" ht="34" customHeight="1">
      <c r="A10" s="16" t="inlineStr">
        <is>
          <t>DATE wants NUMBERS in the order year, month, day — not day, month, year. =DATE(15,3,2024) gives a nonsense date in the year 15. Year first, always.</t>
        </is>
      </c>
    </row>
    <row r="12" ht="21" customHeight="1">
      <c r="A12" s="23" t="inlineStr">
        <is>
          <t>Now you try — type your formula in the amber cell:</t>
        </is>
      </c>
    </row>
    <row r="13" ht="21" customHeight="1">
      <c r="B13" s="24" t="inlineStr">
        <is>
          <t>What to calculate</t>
        </is>
      </c>
      <c r="D13" s="24" t="inlineStr">
        <is>
          <t>Type this kind of formula</t>
        </is>
      </c>
      <c r="F13" s="24" t="inlineStr">
        <is>
          <t>Your result</t>
        </is>
      </c>
      <c r="G13" s="24" t="inlineStr">
        <is>
          <t>Check</t>
        </is>
      </c>
    </row>
    <row r="14" ht="30" customHeight="1">
      <c r="B14" s="25" t="inlineStr">
        <is>
          <t>Build the date 15 March 2024</t>
        </is>
      </c>
      <c r="D14" s="26" t="inlineStr">
        <is>
          <t>e.g.  =DATE(2024,3,15)</t>
        </is>
      </c>
      <c r="F14" s="27" t="n"/>
      <c r="G14" s="28">
        <f>IF(F14="","",IFERROR(IF(ABS(F14-45366)&lt;0.01,"✓  Correct","✗  Try again"),"✗  Try again"))</f>
        <v/>
      </c>
    </row>
    <row r="15" ht="36" customHeight="1">
      <c r="B15" s="25" t="inlineStr">
        <is>
          <t>What YEAR is task T-1's start date? (cell C5)</t>
        </is>
      </c>
      <c r="D15" s="26" t="inlineStr">
        <is>
          <t>e.g.  =YEAR(Data!C5)</t>
        </is>
      </c>
      <c r="F15" s="27" t="n"/>
      <c r="G15" s="28">
        <f>IF(F15="","",IFERROR(IF(ABS(F15-2024)&lt;0.01,"✓  Correct","✗  Try again"),"✗  Try again"))</f>
        <v/>
      </c>
    </row>
    <row r="16" ht="36" customHeight="1">
      <c r="B16" s="25" t="inlineStr">
        <is>
          <t>What MONTH number is T-1's start date?</t>
        </is>
      </c>
      <c r="D16" s="26" t="inlineStr">
        <is>
          <t>e.g.  =MONTH(Data!C5)</t>
        </is>
      </c>
      <c r="F16" s="27" t="n"/>
      <c r="G16" s="28">
        <f>IF(F16="","",IFERROR(IF(ABS(F16-1)&lt;0.01,"✓  Correct","✗  Try again"),"✗  Try again"))</f>
        <v/>
      </c>
    </row>
    <row r="17" ht="36" customHeight="1">
      <c r="B17" s="25" t="inlineStr">
        <is>
          <t>What DAY of the month is T-1's start date?</t>
        </is>
      </c>
      <c r="D17" s="26" t="inlineStr">
        <is>
          <t>e.g.  =DAY(Data!C5)</t>
        </is>
      </c>
      <c r="F17" s="27" t="n"/>
      <c r="G17" s="28">
        <f>IF(F17="","",IFERROR(IF(ABS(F17-8)&lt;0.01,"✓  Correct","✗  Try again"),"✗  Try again"))</f>
        <v/>
      </c>
    </row>
  </sheetData>
  <mergeCells count="7">
    <mergeCell ref="A12:H12"/>
    <mergeCell ref="A1:H1"/>
    <mergeCell ref="A7:H7"/>
    <mergeCell ref="A2:H2"/>
    <mergeCell ref="A10:H10"/>
    <mergeCell ref="A5:H5"/>
    <mergeCell ref="A8:H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FF7B4BA8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38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Task 2 — Durations</t>
        </is>
      </c>
    </row>
    <row r="2">
      <c r="A2" s="2" t="inlineStr">
        <is>
          <t>Subtract dates to get days</t>
        </is>
      </c>
    </row>
    <row r="4" ht="16" customHeight="1">
      <c r="A4" s="4" t="inlineStr">
        <is>
          <t>WHAT IT DOES</t>
        </is>
      </c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3" t="inlineStr">
        <is>
          <t>Because dates are numbers, you find the days between them by simple subtraction: End − Start. The result is a plain number of days. No special function needed — it's just arithmetic on the hidden serial numbers.</t>
        </is>
      </c>
    </row>
    <row r="6" ht="16" customHeight="1">
      <c r="A6" s="4" t="inlineStr">
        <is>
          <t>WORKED EXAMPLE</t>
        </is>
      </c>
      <c r="B6" s="5" t="n"/>
      <c r="C6" s="5" t="n"/>
      <c r="D6" s="5" t="n"/>
      <c r="E6" s="5" t="n"/>
      <c r="F6" s="5" t="n"/>
      <c r="G6" s="5" t="n"/>
      <c r="H6" s="5" t="n"/>
    </row>
    <row r="7" ht="20" customHeight="1">
      <c r="A7" s="22" t="inlineStr">
        <is>
          <t>=Data!D5 - Data!C5   →   11</t>
        </is>
      </c>
    </row>
    <row r="8" ht="20" customHeight="1">
      <c r="A8" s="15" t="inlineStr">
        <is>
          <t>T-1 runs from 8 Jan to 19 Jan. 19 − 8 = 11 days. (If the answer shows as a date, change the cell format to Number.)</t>
        </is>
      </c>
    </row>
    <row r="9" ht="16" customHeight="1">
      <c r="A9" s="17" t="inlineStr">
        <is>
          <t>⚠  COMMON MISTAKE</t>
        </is>
      </c>
      <c r="B9" s="18" t="n"/>
      <c r="C9" s="18" t="n"/>
      <c r="D9" s="18" t="n"/>
      <c r="E9" s="18" t="n"/>
      <c r="F9" s="18" t="n"/>
      <c r="G9" s="18" t="n"/>
      <c r="H9" s="18" t="n"/>
    </row>
    <row r="10" ht="34" customHeight="1">
      <c r="A10" s="16" t="inlineStr">
        <is>
          <t>If your subtraction shows as a DATE instead of a number (e.g. '11/01/1900'), the cell just inherited a date format. The value is right — set the format to Number to see 11.</t>
        </is>
      </c>
    </row>
    <row r="12" ht="21" customHeight="1">
      <c r="A12" s="23" t="inlineStr">
        <is>
          <t>Now you try — type your formula in the amber cell:</t>
        </is>
      </c>
    </row>
    <row r="13" ht="21" customHeight="1">
      <c r="B13" s="24" t="inlineStr">
        <is>
          <t>What to calculate</t>
        </is>
      </c>
      <c r="D13" s="24" t="inlineStr">
        <is>
          <t>Type this kind of formula</t>
        </is>
      </c>
      <c r="F13" s="24" t="inlineStr">
        <is>
          <t>Your result</t>
        </is>
      </c>
      <c r="G13" s="24" t="inlineStr">
        <is>
          <t>Check</t>
        </is>
      </c>
    </row>
    <row r="14" ht="36" customHeight="1">
      <c r="B14" s="25" t="inlineStr">
        <is>
          <t>How many days does task T-1 last? (End − Start)</t>
        </is>
      </c>
      <c r="D14" s="26" t="inlineStr">
        <is>
          <t>e.g.  =Data!D5-Data!C5</t>
        </is>
      </c>
      <c r="F14" s="27" t="n"/>
      <c r="G14" s="28">
        <f>IF(F14="","",IFERROR(IF(ABS(F14-11)&lt;0.01,"✓  Correct","✗  Try again"),"✗  Try again"))</f>
        <v/>
      </c>
    </row>
    <row r="15" ht="36" customHeight="1">
      <c r="B15" s="25" t="inlineStr">
        <is>
          <t>How many days does task T-2 (Build) last?</t>
        </is>
      </c>
      <c r="D15" s="26" t="inlineStr">
        <is>
          <t>e.g.  =Data!D6-Data!C6</t>
        </is>
      </c>
      <c r="F15" s="27" t="n"/>
      <c r="G15" s="28">
        <f>IF(F15="","",IFERROR(IF(ABS(F15-25)&lt;0.01,"✓  Correct","✗  Try again"),"✗  Try again"))</f>
        <v/>
      </c>
    </row>
    <row r="16" ht="36" customHeight="1">
      <c r="B16" s="25" t="inlineStr">
        <is>
          <t>How many days does task T-4 (Review) last?</t>
        </is>
      </c>
      <c r="D16" s="26" t="inlineStr">
        <is>
          <t>e.g.  =Data!D8-Data!C8</t>
        </is>
      </c>
      <c r="F16" s="27" t="n"/>
      <c r="G16" s="28">
        <f>IF(F16="","",IFERROR(IF(ABS(F16-4)&lt;0.01,"✓  Correct","✗  Try again"),"✗  Try again"))</f>
        <v/>
      </c>
    </row>
    <row r="17" ht="51" customHeight="1">
      <c r="B17" s="25" t="inlineStr">
        <is>
          <t>How many days from the project's very start (C5) to its very end (D10)?</t>
        </is>
      </c>
      <c r="D17" s="26" t="inlineStr">
        <is>
          <t>e.g.  =Data!D10-Data!C5</t>
        </is>
      </c>
      <c r="F17" s="27" t="n"/>
      <c r="G17" s="28">
        <f>IF(F17="","",IFERROR(IF(ABS(F17-81)&lt;0.01,"✓  Correct","✗  Try again"),"✗  Try again"))</f>
        <v/>
      </c>
    </row>
  </sheetData>
  <mergeCells count="7">
    <mergeCell ref="A12:H12"/>
    <mergeCell ref="A1:H1"/>
    <mergeCell ref="A7:H7"/>
    <mergeCell ref="A2:H2"/>
    <mergeCell ref="A10:H10"/>
    <mergeCell ref="A5:H5"/>
    <mergeCell ref="A8:H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FF7B4BA8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38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Task 3 — Months and years between</t>
        </is>
      </c>
    </row>
    <row r="2">
      <c r="A2" s="2" t="inlineStr">
        <is>
          <t>DATEDIF for periods</t>
        </is>
      </c>
    </row>
    <row r="4" ht="16" customHeight="1">
      <c r="A4" s="4" t="inlineStr">
        <is>
          <t>WHAT IT DOES</t>
        </is>
      </c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3" t="inlineStr">
        <is>
          <t>Subtraction gives days, but for whole MONTHS or YEARS between two dates you use DATEDIF(start, end, unit). The unit is in quotes: "d" days, "m" whole months, "y" whole years. It's the standard way to work out ages and tenure.</t>
        </is>
      </c>
    </row>
    <row r="6" ht="16" customHeight="1">
      <c r="A6" s="4" t="inlineStr">
        <is>
          <t>WORKED EXAMPLE</t>
        </is>
      </c>
      <c r="B6" s="5" t="n"/>
      <c r="C6" s="5" t="n"/>
      <c r="D6" s="5" t="n"/>
      <c r="E6" s="5" t="n"/>
      <c r="F6" s="5" t="n"/>
      <c r="G6" s="5" t="n"/>
      <c r="H6" s="5" t="n"/>
    </row>
    <row r="7" ht="20" customHeight="1">
      <c r="A7" s="22" t="inlineStr">
        <is>
          <t>=DATEDIF(Data!C5, Data!D10, "m")   →   2</t>
        </is>
      </c>
    </row>
    <row r="8" ht="34" customHeight="1">
      <c r="A8" s="15" t="inlineStr">
        <is>
          <t>From 8 Jan to 29 Mar is 2 WHOLE months (the third month isn't complete until 8 April). "m" counts only finished months.</t>
        </is>
      </c>
    </row>
    <row r="9" ht="16" customHeight="1">
      <c r="A9" s="17" t="inlineStr">
        <is>
          <t>⚠  COMMON MISTAKE</t>
        </is>
      </c>
      <c r="B9" s="18" t="n"/>
      <c r="C9" s="18" t="n"/>
      <c r="D9" s="18" t="n"/>
      <c r="E9" s="18" t="n"/>
      <c r="F9" s="18" t="n"/>
      <c r="G9" s="18" t="n"/>
      <c r="H9" s="18" t="n"/>
    </row>
    <row r="10" ht="34" customHeight="1">
      <c r="A10" s="16" t="inlineStr">
        <is>
          <t>DATEDIF takes start FIRST, then end — the opposite way round feels natural to reverse, but start-then-end is required or it errors. And it counts WHOLE units, so part-months are ignored.</t>
        </is>
      </c>
    </row>
    <row r="12" ht="21" customHeight="1">
      <c r="A12" s="23" t="inlineStr">
        <is>
          <t>Now you try — type your formula in the amber cell:</t>
        </is>
      </c>
    </row>
    <row r="13" ht="21" customHeight="1">
      <c r="B13" s="24" t="inlineStr">
        <is>
          <t>What to calculate</t>
        </is>
      </c>
      <c r="D13" s="24" t="inlineStr">
        <is>
          <t>Type this kind of formula</t>
        </is>
      </c>
      <c r="F13" s="24" t="inlineStr">
        <is>
          <t>Your result</t>
        </is>
      </c>
      <c r="G13" s="24" t="inlineStr">
        <is>
          <t>Check</t>
        </is>
      </c>
    </row>
    <row r="14" ht="36" customHeight="1">
      <c r="B14" s="25" t="inlineStr">
        <is>
          <t>Whole months from project start (C5) to end (D10)? unit "m"</t>
        </is>
      </c>
      <c r="D14" s="26" t="inlineStr">
        <is>
          <t>e.g.  =DATEDIF(Data!C5,Data!D10,"m")</t>
        </is>
      </c>
      <c r="F14" s="27" t="n"/>
      <c r="G14" s="28">
        <f>IF(F14="","",IFERROR(IF(ABS(F14-2)&lt;0.01,"✓  Correct","✗  Try again"),"✗  Try again"))</f>
        <v/>
      </c>
    </row>
    <row r="15" ht="36" customHeight="1">
      <c r="B15" s="25" t="inlineStr">
        <is>
          <t>Total days from C5 to D10 using DATEDIF? unit "d"</t>
        </is>
      </c>
      <c r="D15" s="26" t="inlineStr">
        <is>
          <t>e.g.  =DATEDIF(Data!C5,Data!D10,"d")</t>
        </is>
      </c>
      <c r="F15" s="27" t="n"/>
      <c r="G15" s="28">
        <f>IF(F15="","",IFERROR(IF(ABS(F15-81)&lt;0.01,"✓  Correct","✗  Try again"),"✗  Try again"))</f>
        <v/>
      </c>
    </row>
    <row r="16" ht="36" customHeight="1">
      <c r="B16" s="25" t="inlineStr">
        <is>
          <t>Whole months from T-1 start (C5) to T-6 start (C10)? unit "m"</t>
        </is>
      </c>
      <c r="D16" s="26" t="inlineStr">
        <is>
          <t>e.g.  =DATEDIF(Data!C5,Data!C10,"m")</t>
        </is>
      </c>
      <c r="F16" s="27" t="n"/>
      <c r="G16" s="28">
        <f>IF(F16="","",IFERROR(IF(ABS(F16-2)&lt;0.01,"✓  Correct","✗  Try again"),"✗  Try again"))</f>
        <v/>
      </c>
    </row>
  </sheetData>
  <mergeCells count="7">
    <mergeCell ref="A12:H12"/>
    <mergeCell ref="A1:H1"/>
    <mergeCell ref="A7:H7"/>
    <mergeCell ref="A2:H2"/>
    <mergeCell ref="A10:H10"/>
    <mergeCell ref="A5:H5"/>
    <mergeCell ref="A8:H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FF7B4BA8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38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Task 4 — Month-ends &amp; today</t>
        </is>
      </c>
    </row>
    <row r="2">
      <c r="A2" s="2" t="inlineStr">
        <is>
          <t>EOMONTH and TODAY</t>
        </is>
      </c>
    </row>
    <row r="4" ht="16" customHeight="1">
      <c r="A4" s="4" t="inlineStr">
        <is>
          <t>WHAT IT DOES</t>
        </is>
      </c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3" t="inlineStr">
        <is>
          <t>EOMONTH(date, n) returns the last day of a month — n months from the date (0 = this month, 2 = two months ahead). It's essential for reporting periods and quarter-ends. TODAY() gives the current date, updating every day.</t>
        </is>
      </c>
    </row>
    <row r="6" ht="16" customHeight="1">
      <c r="A6" s="4" t="inlineStr">
        <is>
          <t>WORKED EXAMPLE</t>
        </is>
      </c>
      <c r="B6" s="5" t="n"/>
      <c r="C6" s="5" t="n"/>
      <c r="D6" s="5" t="n"/>
      <c r="E6" s="5" t="n"/>
      <c r="F6" s="5" t="n"/>
      <c r="G6" s="5" t="n"/>
      <c r="H6" s="5" t="n"/>
    </row>
    <row r="7" ht="20" customHeight="1">
      <c r="A7" s="22" t="inlineStr">
        <is>
          <t>=EOMONTH(Data!C5, 0)   →   31/01/2024</t>
        </is>
      </c>
    </row>
    <row r="8" ht="20" customHeight="1">
      <c r="A8" s="15" t="inlineStr">
        <is>
          <t>C5 is 8 Jan, so the end of its month is 31 Jan. EOMONTH(C5, 2) would give 31 Mar — a quarter-end.</t>
        </is>
      </c>
    </row>
    <row r="9" ht="16" customHeight="1">
      <c r="A9" s="17" t="inlineStr">
        <is>
          <t>⚠  COMMON MISTAKE</t>
        </is>
      </c>
      <c r="B9" s="18" t="n"/>
      <c r="C9" s="18" t="n"/>
      <c r="D9" s="18" t="n"/>
      <c r="E9" s="18" t="n"/>
      <c r="F9" s="18" t="n"/>
      <c r="G9" s="18" t="n"/>
      <c r="H9" s="18" t="n"/>
    </row>
    <row r="10" ht="34" customHeight="1">
      <c r="A10" s="16" t="inlineStr">
        <is>
          <t>EOMONTH always lands on the LAST day of the month, never the date you fed in. If you want the same day next month, that's a different job — EOMONTH is specifically month-ends.</t>
        </is>
      </c>
    </row>
    <row r="12" ht="21" customHeight="1">
      <c r="A12" s="23" t="inlineStr">
        <is>
          <t>Now you try — type your formula in the amber cell:</t>
        </is>
      </c>
    </row>
    <row r="13" ht="21" customHeight="1">
      <c r="B13" s="24" t="inlineStr">
        <is>
          <t>What to calculate</t>
        </is>
      </c>
      <c r="D13" s="24" t="inlineStr">
        <is>
          <t>Type this kind of formula</t>
        </is>
      </c>
      <c r="F13" s="24" t="inlineStr">
        <is>
          <t>Your result</t>
        </is>
      </c>
      <c r="G13" s="24" t="inlineStr">
        <is>
          <t>Check</t>
        </is>
      </c>
    </row>
    <row r="14" ht="36" customHeight="1">
      <c r="B14" s="25" t="inlineStr">
        <is>
          <t>Last day of T-1 start month (C5), n=0  → type as a serial or date</t>
        </is>
      </c>
      <c r="D14" s="26" t="inlineStr">
        <is>
          <t>e.g.  =EOMONTH(Data!C5,0)</t>
        </is>
      </c>
      <c r="F14" s="27" t="n"/>
      <c r="G14" s="28">
        <f>IF(F14="","",IFERROR(IF(ABS(F14-45322)&lt;0.01,"✓  Correct","✗  Try again"),"✗  Try again"))</f>
        <v/>
      </c>
    </row>
    <row r="15" ht="36" customHeight="1">
      <c r="B15" s="25" t="inlineStr">
        <is>
          <t>Quarter-end: last day 2 months after C5 (n=2)</t>
        </is>
      </c>
      <c r="D15" s="26" t="inlineStr">
        <is>
          <t>e.g.  =EOMONTH(Data!C5,2)</t>
        </is>
      </c>
      <c r="F15" s="27" t="n"/>
      <c r="G15" s="28">
        <f>IF(F15="","",IFERROR(IF(ABS(F15-45382)&lt;0.01,"✓  Correct","✗  Try again"),"✗  Try again"))</f>
        <v/>
      </c>
    </row>
    <row r="16" ht="36" customHeight="1">
      <c r="B16" s="25" t="inlineStr">
        <is>
          <t>Last day of the month for T-3 end date (D7), n=0</t>
        </is>
      </c>
      <c r="D16" s="26" t="inlineStr">
        <is>
          <t>e.g.  =EOMONTH(Data!D7,0)</t>
        </is>
      </c>
      <c r="F16" s="27" t="n"/>
      <c r="G16" s="28">
        <f>IF(F16="","",IFERROR(IF(ABS(F16-45382)&lt;0.01,"✓  Correct","✗  Try again"),"✗  Try again"))</f>
        <v/>
      </c>
    </row>
  </sheetData>
  <mergeCells count="7">
    <mergeCell ref="A12:H12"/>
    <mergeCell ref="A1:H1"/>
    <mergeCell ref="A7:H7"/>
    <mergeCell ref="A2:H2"/>
    <mergeCell ref="A10:H10"/>
    <mergeCell ref="A5:H5"/>
    <mergeCell ref="A8:H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FF7B4BA8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38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Task 5 — Dates that won't calculate</t>
        </is>
      </c>
    </row>
    <row r="2">
      <c r="A2" s="2" t="inlineStr">
        <is>
          <t>Spotting and fixing text-dates</t>
        </is>
      </c>
    </row>
    <row r="4" ht="16" customHeight="1">
      <c r="A4" s="4" t="inlineStr">
        <is>
          <t>WHAT IT DOES</t>
        </is>
      </c>
      <c r="B4" s="5" t="n"/>
      <c r="C4" s="5" t="n"/>
      <c r="D4" s="5" t="n"/>
      <c r="E4" s="5" t="n"/>
      <c r="F4" s="5" t="n"/>
      <c r="G4" s="5" t="n"/>
      <c r="H4" s="5" t="n"/>
    </row>
    <row r="5" ht="51" customHeight="1">
      <c r="A5" s="3" t="inlineStr">
        <is>
          <t>Imported data often contains 'dates' that are really TEXT. They look right but have no hidden serial number, so date maths fails on them. DATEVALUE() converts a text-date into a real one you can calculate with. The clue they're text: they line up on the LEFT of the cell.</t>
        </is>
      </c>
    </row>
    <row r="6" ht="16" customHeight="1">
      <c r="A6" s="4" t="inlineStr">
        <is>
          <t>WORKED EXAMPLE</t>
        </is>
      </c>
      <c r="B6" s="5" t="n"/>
      <c r="C6" s="5" t="n"/>
      <c r="D6" s="5" t="n"/>
      <c r="E6" s="5" t="n"/>
      <c r="F6" s="5" t="n"/>
      <c r="G6" s="5" t="n"/>
      <c r="H6" s="5" t="n"/>
    </row>
    <row r="7" ht="20" customHeight="1">
      <c r="A7" s="22" t="inlineStr">
        <is>
          <t>=DATEVALUE("15/03/2024")   →   45366</t>
        </is>
      </c>
    </row>
    <row r="8" ht="20" customHeight="1">
      <c r="A8" s="15" t="inlineStr">
        <is>
          <t>DATEVALUE reads the text and returns the real serial number — now it behaves like a proper date.</t>
        </is>
      </c>
    </row>
    <row r="9" ht="16" customHeight="1">
      <c r="A9" s="17" t="inlineStr">
        <is>
          <t>⚠  COMMON MISTAKE</t>
        </is>
      </c>
      <c r="B9" s="18" t="n"/>
      <c r="C9" s="18" t="n"/>
      <c r="D9" s="18" t="n"/>
      <c r="E9" s="18" t="n"/>
      <c r="F9" s="18" t="n"/>
      <c r="G9" s="18" t="n"/>
      <c r="H9" s="18" t="n"/>
    </row>
    <row r="10" ht="34" customHeight="1">
      <c r="A10" s="16" t="inlineStr">
        <is>
          <t>You can't do maths on a text-date directly — =End − Start fails or gives nonsense if either side is text. Convert with DATEVALUE first (or re-import correctly), THEN calculate.</t>
        </is>
      </c>
    </row>
    <row r="12" ht="21" customHeight="1">
      <c r="A12" s="23" t="inlineStr">
        <is>
          <t>Now you try — type your formula in the amber cell:</t>
        </is>
      </c>
    </row>
    <row r="13" ht="21" customHeight="1">
      <c r="B13" s="24" t="inlineStr">
        <is>
          <t>What to calculate</t>
        </is>
      </c>
      <c r="D13" s="24" t="inlineStr">
        <is>
          <t>Type this kind of formula</t>
        </is>
      </c>
      <c r="F13" s="24" t="inlineStr">
        <is>
          <t>Your result</t>
        </is>
      </c>
      <c r="G13" s="24" t="inlineStr">
        <is>
          <t>Check</t>
        </is>
      </c>
    </row>
    <row r="14" ht="36" customHeight="1">
      <c r="B14" s="25" t="inlineStr">
        <is>
          <t>Convert the text "15/03/2024" to a real date value</t>
        </is>
      </c>
      <c r="D14" s="26" t="inlineStr">
        <is>
          <t>e.g.  =DATEVALUE("15/03/2024")</t>
        </is>
      </c>
      <c r="F14" s="27" t="n"/>
      <c r="G14" s="28">
        <f>IF(F14="","",IFERROR(IF(ABS(F14-45366)&lt;0.01,"✓  Correct","✗  Try again"),"✗  Try again"))</f>
        <v/>
      </c>
    </row>
    <row r="15" ht="36" customHeight="1">
      <c r="B15" s="25" t="inlineStr">
        <is>
          <t>Convert the text "08/01/2024" to a real date value</t>
        </is>
      </c>
      <c r="D15" s="26" t="inlineStr">
        <is>
          <t>e.g.  =DATEVALUE("08/01/2024")</t>
        </is>
      </c>
      <c r="F15" s="27" t="n"/>
      <c r="G15" s="28">
        <f>IF(F15="","",IFERROR(IF(ABS(F15-45299)&lt;0.01,"✓  Correct","✗  Try again"),"✗  Try again"))</f>
        <v/>
      </c>
    </row>
    <row r="16" ht="51" customHeight="1">
      <c r="B16" s="25" t="inlineStr">
        <is>
          <t>Days between two text-dates: DATEVALUE("19/01/2024") − DATEVALUE("08/01/2024")</t>
        </is>
      </c>
      <c r="D16" s="26" t="inlineStr">
        <is>
          <t>e.g.  =DATEVALUE("19/01/2024")-DATEVALUE("08/01/2024")</t>
        </is>
      </c>
      <c r="F16" s="27" t="n"/>
      <c r="G16" s="28">
        <f>IF(F16="","",IFERROR(IF(ABS(F16-11)&lt;0.01,"✓  Correct","✗  Try again"),"✗  Try again"))</f>
        <v/>
      </c>
    </row>
  </sheetData>
  <mergeCells count="7">
    <mergeCell ref="A12:H12"/>
    <mergeCell ref="A1:H1"/>
    <mergeCell ref="A7:H7"/>
    <mergeCell ref="A2:H2"/>
    <mergeCell ref="A10:H10"/>
    <mergeCell ref="A5:H5"/>
    <mergeCell ref="A8:H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6" customHeight="1">
      <c r="A1" s="1" t="inlineStr">
        <is>
          <t>Support — your glossary</t>
        </is>
      </c>
    </row>
    <row r="2">
      <c r="A2" s="2" t="inlineStr">
        <is>
          <t>The date toolkit at a glance</t>
        </is>
      </c>
    </row>
    <row r="4" ht="34" customHeight="1">
      <c r="A4" s="6" t="inlineStr">
        <is>
          <t>Serial number</t>
        </is>
      </c>
      <c r="B4" s="7" t="inlineStr">
        <is>
          <t>The number behind every date — days since 1 Jan 1900. The whole reason date maths works.</t>
        </is>
      </c>
    </row>
    <row r="5" ht="34" customHeight="1">
      <c r="A5" s="6" t="inlineStr">
        <is>
          <t>DATE</t>
        </is>
      </c>
      <c r="B5" s="7" t="inlineStr">
        <is>
          <t>DATE(year, month, day). Builds a real date from three numbers. Year first.</t>
        </is>
      </c>
    </row>
    <row r="6" ht="20" customHeight="1">
      <c r="A6" s="6" t="inlineStr">
        <is>
          <t>YEAR / MONTH / DAY</t>
        </is>
      </c>
      <c r="B6" s="7" t="inlineStr">
        <is>
          <t>Pull one part out of a date, as a number.</t>
        </is>
      </c>
    </row>
    <row r="7" ht="20" customHeight="1">
      <c r="A7" s="6" t="inlineStr">
        <is>
          <t>End − Start</t>
        </is>
      </c>
      <c r="B7" s="7" t="inlineStr">
        <is>
          <t>Plain subtraction of two dates = number of days between them.</t>
        </is>
      </c>
    </row>
    <row r="8" ht="34" customHeight="1">
      <c r="A8" s="6" t="inlineStr">
        <is>
          <t>DATEDIF</t>
        </is>
      </c>
      <c r="B8" s="7" t="inlineStr">
        <is>
          <t>DATEDIF(start, end, unit). Whole periods between dates. unit: "d" days, "m" months, "y" years. Start first.</t>
        </is>
      </c>
    </row>
    <row r="9" ht="34" customHeight="1">
      <c r="A9" s="6" t="inlineStr">
        <is>
          <t>EOMONTH</t>
        </is>
      </c>
      <c r="B9" s="7" t="inlineStr">
        <is>
          <t>EOMONTH(date, n). Last day of the month, n months away. 0 = this month, 2 = quarter-end.</t>
        </is>
      </c>
    </row>
    <row r="10" ht="20" customHeight="1">
      <c r="A10" s="6" t="inlineStr">
        <is>
          <t>TODAY</t>
        </is>
      </c>
      <c r="B10" s="7" t="inlineStr">
        <is>
          <t>TODAY(). Current date; updates daily. Great for ages and 'days since'.</t>
        </is>
      </c>
    </row>
    <row r="11" ht="20" customHeight="1">
      <c r="A11" s="6" t="inlineStr">
        <is>
          <t>DATEVALUE</t>
        </is>
      </c>
      <c r="B11" s="7" t="inlineStr">
        <is>
          <t>DATEVALUE(text). Turns a text-date into a real (calculable) date.</t>
        </is>
      </c>
    </row>
    <row r="12" ht="34" customHeight="1">
      <c r="A12" s="6" t="inlineStr">
        <is>
          <t>Left vs right</t>
        </is>
      </c>
      <c r="B12" s="7" t="inlineStr">
        <is>
          <t>Real dates align RIGHT (they're numbers). Text-dates align LEFT and won't calculate.</t>
        </is>
      </c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tabColor rgb="FF3F1D5E"/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" customWidth="1" min="3" max="3"/>
    <col width="40" customWidth="1" min="4" max="4"/>
    <col width="2" customWidth="1" min="5" max="5"/>
    <col width="15" customWidth="1" min="6" max="6"/>
    <col width="13" customWidth="1" min="7" max="7"/>
    <col width="4" customWidth="1" min="8" max="8"/>
  </cols>
  <sheetData>
    <row r="1" ht="26" customHeight="1">
      <c r="A1" s="1" t="inlineStr">
        <is>
          <t>Stretch — go further</t>
        </is>
      </c>
    </row>
    <row r="2">
      <c r="A2" s="2" t="inlineStr">
        <is>
          <t>Combine date functions</t>
        </is>
      </c>
    </row>
    <row r="4" ht="21" customHeight="1">
      <c r="A4" s="3" t="inlineStr">
        <is>
          <t>These chain a couple of date ideas together — the kind of thing real reporting needs.</t>
        </is>
      </c>
    </row>
    <row r="6" ht="21" customHeight="1">
      <c r="B6" s="24" t="inlineStr">
        <is>
          <t>What to calculate</t>
        </is>
      </c>
      <c r="D6" s="24" t="inlineStr">
        <is>
          <t>Type this kind of formula</t>
        </is>
      </c>
      <c r="F6" s="24" t="inlineStr">
        <is>
          <t>Your result</t>
        </is>
      </c>
      <c r="G6" s="24" t="inlineStr">
        <is>
          <t>Check</t>
        </is>
      </c>
    </row>
    <row r="7" ht="36" customHeight="1">
      <c r="B7" s="25" t="inlineStr">
        <is>
          <t>Total days across ALL six tasks (sum each End − Start)</t>
        </is>
      </c>
      <c r="D7" s="26" t="inlineStr">
        <is>
          <t>e.g.  =SUMPRODUCT(Data!D5:D10-Data!C5:C10)</t>
        </is>
      </c>
      <c r="F7" s="27" t="n"/>
      <c r="G7" s="28">
        <f>IF(F7="","",IFERROR(IF(ABS(F7-66)&lt;0.01,"✓  Correct","✗  Try again"),"✗  Try again"))</f>
        <v/>
      </c>
    </row>
    <row r="8" ht="36" customHeight="1">
      <c r="B8" s="25" t="inlineStr">
        <is>
          <t>Month NUMBER of the project end date (D10)</t>
        </is>
      </c>
      <c r="D8" s="26" t="inlineStr">
        <is>
          <t>e.g.  =MONTH(Data!D10)</t>
        </is>
      </c>
      <c r="F8" s="27" t="n"/>
      <c r="G8" s="28">
        <f>IF(F8="","",IFERROR(IF(ABS(F8-3)&lt;0.01,"✓  Correct","✗  Try again"),"✗  Try again"))</f>
        <v/>
      </c>
    </row>
    <row r="9" ht="36" customHeight="1">
      <c r="B9" s="25" t="inlineStr">
        <is>
          <t>Quarter-end after T-6 ends: EOMONTH(D10, 0)</t>
        </is>
      </c>
      <c r="D9" s="26" t="inlineStr">
        <is>
          <t>e.g.  =EOMONTH(Data!D10,0)</t>
        </is>
      </c>
      <c r="F9" s="27" t="n"/>
      <c r="G9" s="28">
        <f>IF(F9="","",IFERROR(IF(ABS(F9-45382)&lt;0.01,"✓  Correct","✗  Try again"),"✗  Try again"))</f>
        <v/>
      </c>
    </row>
    <row r="10" ht="36" customHeight="1">
      <c r="B10" s="25" t="inlineStr">
        <is>
          <t>How many tasks START in January? (MONTH = 1)</t>
        </is>
      </c>
      <c r="D10" s="26" t="inlineStr">
        <is>
          <t>e.g.  =SUMPRODUCT(--(MONTH(Data!C5:C10)=1))</t>
        </is>
      </c>
      <c r="F10" s="27" t="n"/>
      <c r="G10" s="28">
        <f>IF(F10="","",IFERROR(IF(ABS(F10-2)&lt;0.01,"✓  Correct","✗  Try again"),"✗  Try again"))</f>
        <v/>
      </c>
    </row>
  </sheetData>
  <mergeCells count="3">
    <mergeCell ref="A4:H4"/>
    <mergeCell ref="A2:H2"/>
    <mergeCell ref="A1:H1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5" customWidth="1" min="7" max="7"/>
    <col width="13" customWidth="1" min="8" max="8"/>
  </cols>
  <sheetData>
    <row r="1" ht="26" customHeight="1">
      <c r="A1" s="1" t="inlineStr">
        <is>
          <t>Confidence check</t>
        </is>
      </c>
    </row>
    <row r="2">
      <c r="A2" s="2" t="inlineStr">
        <is>
          <t>Tick each box you can honestly do</t>
        </is>
      </c>
    </row>
    <row r="4" ht="21" customHeight="1">
      <c r="A4" s="3" t="inlineStr">
        <is>
          <t>Type x in each amber box you can tick. All ticked means dates won't catch you out again.</t>
        </is>
      </c>
    </row>
    <row r="6">
      <c r="B6" s="20" t="inlineStr">
        <is>
          <t>Tick</t>
        </is>
      </c>
      <c r="C6" s="20" t="inlineStr">
        <is>
          <t>I can…</t>
        </is>
      </c>
      <c r="G6" s="20" t="inlineStr">
        <is>
          <t>✓</t>
        </is>
      </c>
    </row>
    <row r="7" ht="21" customHeight="1">
      <c r="B7" s="27" t="n"/>
      <c r="C7" s="34" t="inlineStr">
        <is>
          <t>explain why a date is really a number (serial number)</t>
        </is>
      </c>
      <c r="G7" s="35">
        <f>IF(LOWER(B7)="x","✓","")</f>
        <v/>
      </c>
    </row>
    <row r="8" ht="21" customHeight="1">
      <c r="B8" s="27" t="n"/>
      <c r="C8" s="34" t="inlineStr">
        <is>
          <t>build a date with DATE() and read parts with YEAR/MONTH/DAY</t>
        </is>
      </c>
      <c r="G8" s="35">
        <f>IF(LOWER(B8)="x","✓","")</f>
        <v/>
      </c>
    </row>
    <row r="9" ht="21" customHeight="1">
      <c r="B9" s="27" t="n"/>
      <c r="C9" s="34" t="inlineStr">
        <is>
          <t>subtract two dates to get the number of days</t>
        </is>
      </c>
      <c r="G9" s="35">
        <f>IF(LOWER(B9)="x","✓","")</f>
        <v/>
      </c>
    </row>
    <row r="10" ht="21" customHeight="1">
      <c r="B10" s="27" t="n"/>
      <c r="C10" s="34" t="inlineStr">
        <is>
          <t>use DATEDIF for whole months or years between dates</t>
        </is>
      </c>
      <c r="G10" s="35">
        <f>IF(LOWER(B10)="x","✓","")</f>
        <v/>
      </c>
    </row>
    <row r="11" ht="21" customHeight="1">
      <c r="B11" s="27" t="n"/>
      <c r="C11" s="34" t="inlineStr">
        <is>
          <t>use EOMONTH to find a month-end or quarter-end</t>
        </is>
      </c>
      <c r="G11" s="35">
        <f>IF(LOWER(B11)="x","✓","")</f>
        <v/>
      </c>
    </row>
    <row r="12" ht="21" customHeight="1">
      <c r="B12" s="27" t="n"/>
      <c r="C12" s="34" t="inlineStr">
        <is>
          <t>spot a text-date and convert it with DATEVALUE</t>
        </is>
      </c>
      <c r="G12" s="35">
        <f>IF(LOWER(B12)="x","✓","")</f>
        <v/>
      </c>
    </row>
    <row r="14" ht="38" customHeight="1">
      <c r="C14" s="36">
        <f>IF(COUNTIF(B7:B12,"x")=6,"All ticked — dates are yours. Take it onto real data.","Keep going — "&amp;(6-COUNTIF(B7:B12,"x"))&amp;" to go.")</f>
        <v/>
      </c>
    </row>
  </sheetData>
  <mergeCells count="10">
    <mergeCell ref="A4:H4"/>
    <mergeCell ref="C9:F9"/>
    <mergeCell ref="C8:F8"/>
    <mergeCell ref="C14:H14"/>
    <mergeCell ref="A2:H2"/>
    <mergeCell ref="C12:F12"/>
    <mergeCell ref="C7:F7"/>
    <mergeCell ref="C11:F11"/>
    <mergeCell ref="A1:H1"/>
    <mergeCell ref="C10:F10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2026-06-23T20:05:21Z</dcterms:created>
  <dcterms:modified xmlns:dcterms="http://purl.org/dc/terms/" xmlns:xsi="http://www.w3.org/2001/XMLSchema-instance" xsi:type="dcterms:W3CDTF">2026-06-23T20:05:39Z</dcterms:modified>
</cp:coreProperties>
</file>