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esigning a Dashboard" sheetId="2" state="visible" r:id="rId2"/>
    <sheet xmlns:r="http://schemas.openxmlformats.org/officeDocument/2006/relationships" name="Club Data" sheetId="3" state="visible" r:id="rId3"/>
    <sheet xmlns:r="http://schemas.openxmlformats.org/officeDocument/2006/relationships" name="Task 1 - KPI Cards" sheetId="4" state="visible" r:id="rId4"/>
    <sheet xmlns:r="http://schemas.openxmlformats.org/officeDocument/2006/relationships" name="Task 2 - Pivot Breakdowns" sheetId="5" state="visible" r:id="rId5"/>
    <sheet xmlns:r="http://schemas.openxmlformats.org/officeDocument/2006/relationships" name="Support" sheetId="6" state="visible" r:id="rId6"/>
    <sheet xmlns:r="http://schemas.openxmlformats.org/officeDocument/2006/relationships" name="Stretch" sheetId="7" state="visible" r:id="rId7"/>
    <sheet xmlns:r="http://schemas.openxmlformats.org/officeDocument/2006/relationships" name="Confidence" sheetId="8" state="visible" r:id="rId8"/>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FFFFFFFF"/>
      <sz val="18"/>
    </font>
    <font>
      <name val="Calibri"/>
      <color rgb="FFFFFFFF"/>
      <sz val="11"/>
    </font>
    <font>
      <name val="Calibri"/>
      <color rgb="FF000000"/>
      <sz val="11"/>
    </font>
    <font>
      <name val="Calibri"/>
      <b val="1"/>
      <color rgb="FF5B2A86"/>
      <sz val="10"/>
    </font>
    <font>
      <b val="1"/>
      <color rgb="FFFFFFFF"/>
    </font>
    <font>
      <name val="Calibri"/>
      <color rgb="FF000000"/>
      <sz val="10.5"/>
    </font>
    <font>
      <name val="Consolas"/>
      <color rgb="FF000000"/>
      <sz val="10.5"/>
    </font>
    <font>
      <name val="Calibri"/>
      <b val="1"/>
      <color rgb="FFB00020"/>
      <sz val="10"/>
    </font>
    <font>
      <name val="Calibri"/>
      <b val="1"/>
      <color rgb="FF5B2A86"/>
      <sz val="11"/>
    </font>
    <font>
      <sz val="11"/>
    </font>
    <font>
      <name val="Consolas"/>
      <color rgb="FF666666"/>
      <sz val="9.5"/>
    </font>
    <font>
      <b val="1"/>
      <sz val="11"/>
    </font>
    <font>
      <b val="1"/>
      <color rgb="FF5B2A86"/>
      <sz val="10.5"/>
    </font>
    <font>
      <sz val="10.5"/>
    </font>
    <font>
      <name val="Calibri"/>
      <b val="1"/>
      <color rgb="FF000000"/>
      <sz val="11"/>
    </font>
    <font>
      <b val="1"/>
      <color rgb="FF548235"/>
      <sz val="13"/>
    </font>
    <font>
      <b val="1"/>
      <color rgb="FF5B2A86"/>
      <sz val="12"/>
    </font>
  </fonts>
  <fills count="8">
    <fill>
      <patternFill/>
    </fill>
    <fill>
      <patternFill patternType="gray125"/>
    </fill>
    <fill>
      <patternFill patternType="solid">
        <fgColor rgb="FF5B2A86"/>
      </patternFill>
    </fill>
    <fill>
      <patternFill patternType="solid">
        <fgColor rgb="FF8E5BB5"/>
      </patternFill>
    </fill>
    <fill>
      <patternFill patternType="solid">
        <fgColor rgb="FFF1E9F7"/>
      </patternFill>
    </fill>
    <fill>
      <patternFill patternType="solid">
        <fgColor rgb="FFEDE4F5"/>
      </patternFill>
    </fill>
    <fill>
      <patternFill patternType="solid">
        <fgColor rgb="FFFBE9E7"/>
      </patternFill>
    </fill>
    <fill>
      <patternFill patternType="solid">
        <fgColor rgb="FFFFF3C4"/>
      </patternFill>
    </fill>
  </fills>
  <borders count="2">
    <border>
      <left/>
      <right/>
      <top/>
      <bottom/>
      <diagonal/>
    </border>
    <border>
      <left style="thin">
        <color rgb="FFC9B8DD"/>
      </left>
      <right style="thin">
        <color rgb="FFC9B8DD"/>
      </right>
      <top style="thin">
        <color rgb="FFC9B8DD"/>
      </top>
      <bottom style="thin">
        <color rgb="FFC9B8DD"/>
      </bottom>
    </border>
  </borders>
  <cellStyleXfs count="1">
    <xf numFmtId="0" fontId="0" fillId="0" borderId="0"/>
  </cellStyleXfs>
  <cellXfs count="28">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3" borderId="0" applyAlignment="1" pivotButton="0" quotePrefix="0" xfId="0">
      <alignment vertical="center" indent="1"/>
    </xf>
    <xf numFmtId="0" fontId="0" fillId="3" borderId="0" pivotButton="0" quotePrefix="0" xfId="0"/>
    <xf numFmtId="0" fontId="3" fillId="0" borderId="0" applyAlignment="1" pivotButton="0" quotePrefix="0" xfId="0">
      <alignment vertical="top" wrapText="1" indent="1"/>
    </xf>
    <xf numFmtId="0" fontId="4" fillId="4" borderId="0" applyAlignment="1" pivotButton="0" quotePrefix="0" xfId="0">
      <alignment vertical="top" wrapText="1" indent="1"/>
    </xf>
    <xf numFmtId="0" fontId="0" fillId="4" borderId="0" pivotButton="0" quotePrefix="0" xfId="0"/>
    <xf numFmtId="0" fontId="5" fillId="2" borderId="0" applyAlignment="1" pivotButton="0" quotePrefix="0" xfId="0">
      <alignment indent="1"/>
    </xf>
    <xf numFmtId="0" fontId="6" fillId="0" borderId="0" applyAlignment="1" pivotButton="0" quotePrefix="0" xfId="0">
      <alignment vertical="top" wrapText="1" indent="1"/>
    </xf>
    <xf numFmtId="0" fontId="7" fillId="5" borderId="0" applyAlignment="1" pivotButton="0" quotePrefix="0" xfId="0">
      <alignment vertical="top" wrapText="1" indent="1"/>
    </xf>
    <xf numFmtId="0" fontId="0" fillId="5" borderId="0" pivotButton="0" quotePrefix="0" xfId="0"/>
    <xf numFmtId="0" fontId="8" fillId="6" borderId="0" applyAlignment="1" pivotButton="0" quotePrefix="0" xfId="0">
      <alignment vertical="top" wrapText="1" indent="1"/>
    </xf>
    <xf numFmtId="0" fontId="0" fillId="6" borderId="0" pivotButton="0" quotePrefix="0" xfId="0"/>
    <xf numFmtId="0" fontId="9" fillId="0" borderId="0" applyAlignment="1" pivotButton="0" quotePrefix="0" xfId="0">
      <alignment vertical="top" wrapText="1" indent="1"/>
    </xf>
    <xf numFmtId="0" fontId="5" fillId="2" borderId="0" applyAlignment="1" pivotButton="0" quotePrefix="0" xfId="0">
      <alignment vertical="center" wrapText="1" indent="1"/>
    </xf>
    <xf numFmtId="0" fontId="10" fillId="0" borderId="0" applyAlignment="1" pivotButton="0" quotePrefix="0" xfId="0">
      <alignment vertical="center" wrapText="1" indent="1"/>
    </xf>
    <xf numFmtId="0" fontId="11" fillId="0" borderId="0" applyAlignment="1" pivotButton="0" quotePrefix="0" xfId="0">
      <alignment vertical="center" wrapText="1" indent="1"/>
    </xf>
    <xf numFmtId="0" fontId="0" fillId="7" borderId="1" pivotButton="0" quotePrefix="0" xfId="0"/>
    <xf numFmtId="0" fontId="12" fillId="0" borderId="0" applyAlignment="1" pivotButton="0" quotePrefix="0" xfId="0">
      <alignment horizontal="center" vertical="center"/>
    </xf>
    <xf numFmtId="0" fontId="13" fillId="0" borderId="0" applyAlignment="1" pivotButton="0" quotePrefix="0" xfId="0">
      <alignment vertical="top" wrapText="1" indent="1"/>
    </xf>
    <xf numFmtId="0" fontId="14" fillId="0" borderId="0" applyAlignment="1" pivotButton="0" quotePrefix="0" xfId="0">
      <alignment vertical="top" wrapText="1" indent="1"/>
    </xf>
    <xf numFmtId="0" fontId="15" fillId="0" borderId="0" applyAlignment="1" pivotButton="0" quotePrefix="0" xfId="0">
      <alignment vertical="top" wrapText="1" indent="1"/>
    </xf>
    <xf numFmtId="0" fontId="0" fillId="0" borderId="1" pivotButton="0" quotePrefix="0" xfId="0"/>
    <xf numFmtId="0" fontId="5" fillId="2" borderId="0" pivotButton="0" quotePrefix="0" xfId="0"/>
    <xf numFmtId="0" fontId="0" fillId="7" borderId="1" applyAlignment="1" pivotButton="0" quotePrefix="0" xfId="0">
      <alignment horizontal="center"/>
    </xf>
    <xf numFmtId="0" fontId="16" fillId="0" borderId="0" applyAlignment="1" pivotButton="0" quotePrefix="0" xfId="0">
      <alignment horizontal="center"/>
    </xf>
    <xf numFmtId="0" fontId="17" fillId="0" borderId="0" applyAlignment="1" pivotButton="0" quotePrefix="0" xfId="0">
      <alignmen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5B2A86"/>
    <outlinePr summaryBelow="1" summaryRight="1"/>
    <pageSetUpPr/>
  </sheetPr>
  <dimension ref="A1:I20"/>
  <sheetViews>
    <sheetView showGridLines="0" workbookViewId="0">
      <selection activeCell="A1" sqref="A1"/>
    </sheetView>
  </sheetViews>
  <sheetFormatPr baseColWidth="8" defaultRowHeight="15"/>
  <cols>
    <col width="2" customWidth="1" min="1" max="1"/>
    <col width="16" customWidth="1" min="2" max="2"/>
    <col width="12" customWidth="1" min="3" max="3"/>
    <col width="12" customWidth="1" min="4" max="4"/>
    <col width="12" customWidth="1" min="5" max="5"/>
    <col width="12" customWidth="1" min="6" max="6"/>
    <col width="12" customWidth="1" min="7" max="7"/>
    <col width="12" customWidth="1" min="8" max="8"/>
    <col width="4" customWidth="1" min="9" max="9"/>
  </cols>
  <sheetData>
    <row r="1" ht="34" customHeight="1">
      <c r="A1" s="1" t="inlineStr">
        <is>
          <t>Dashboards</t>
        </is>
      </c>
      <c r="B1" s="2" t="n"/>
      <c r="C1" s="2" t="n"/>
      <c r="D1" s="2" t="n"/>
      <c r="E1" s="2" t="n"/>
      <c r="F1" s="2" t="n"/>
      <c r="G1" s="2" t="n"/>
      <c r="H1" s="2" t="n"/>
      <c r="I1" s="2" t="n"/>
    </row>
    <row r="2" ht="20" customHeight="1">
      <c r="A2" s="3" t="inlineStr">
        <is>
          <t>One interactive page that answers the questions at a glance</t>
        </is>
      </c>
      <c r="B2" s="4" t="n"/>
      <c r="C2" s="4" t="n"/>
      <c r="D2" s="4" t="n"/>
      <c r="E2" s="4" t="n"/>
      <c r="F2" s="4" t="n"/>
      <c r="G2" s="4" t="n"/>
      <c r="H2" s="4" t="n"/>
      <c r="I2" s="4" t="n"/>
    </row>
    <row r="4" ht="64" customHeight="1">
      <c r="B4" s="5" t="inlineStr">
        <is>
          <t>A dashboard pulls headline numbers (KPIs), a few pivots and charts, and slicers onto ONE tidy page. This drill builds the pieces on a small Riverside club dataset: you'll compute the KPI numbers, read values off pivots, and learn the design choices that make a dashboard clear. The numbers self-check; the layout is yours to build in Excel.</t>
        </is>
      </c>
    </row>
    <row r="10" ht="18" customHeight="1">
      <c r="B10" s="6" t="inlineStr">
        <is>
          <t>What makes a dashboard</t>
        </is>
      </c>
      <c r="C10" s="7" t="n"/>
      <c r="D10" s="7" t="n"/>
      <c r="E10" s="7" t="n"/>
      <c r="F10" s="7" t="n"/>
      <c r="G10" s="7" t="n"/>
      <c r="H10" s="7" t="n"/>
      <c r="I10" s="7" t="n"/>
    </row>
    <row r="11" ht="16" customHeight="1">
      <c r="B11" s="5" t="inlineStr">
        <is>
          <t>•  KPI cards — a few big single numbers (total members, total revenue, average).</t>
        </is>
      </c>
    </row>
    <row r="12" ht="16" customHeight="1">
      <c r="B12" s="5" t="inlineStr">
        <is>
          <t>•  Pivots &amp; PivotCharts — the breakdowns (by type, by activity).</t>
        </is>
      </c>
    </row>
    <row r="13" ht="16" customHeight="1">
      <c r="B13" s="5" t="inlineStr">
        <is>
          <t>•  Slicers — clickable filters that drive the whole page at once.</t>
        </is>
      </c>
    </row>
    <row r="14" ht="16" customHeight="1">
      <c r="B14" s="5" t="inlineStr">
        <is>
          <t>•  A clean layout — titles, no gridlines, things lined up.</t>
        </is>
      </c>
    </row>
    <row r="16" ht="18" customHeight="1">
      <c r="B16" s="6" t="inlineStr">
        <is>
          <t>How this drill works</t>
        </is>
      </c>
      <c r="C16" s="7" t="n"/>
      <c r="D16" s="7" t="n"/>
      <c r="E16" s="7" t="n"/>
      <c r="F16" s="7" t="n"/>
      <c r="G16" s="7" t="n"/>
      <c r="H16" s="7" t="n"/>
      <c r="I16" s="7" t="n"/>
    </row>
    <row r="17" ht="16" customHeight="1">
      <c r="B17" s="5" t="inlineStr">
        <is>
          <t>•  The Club Data tab holds 24 members — every task reads from it.</t>
        </is>
      </c>
    </row>
    <row r="18" ht="16" customHeight="1">
      <c r="B18" s="5" t="inlineStr">
        <is>
          <t>•  Compute each KPI / pivot value and type it in the amber cell — the Check marks it ✓ or ✗.</t>
        </is>
      </c>
    </row>
    <row r="19" ht="16" customHeight="1">
      <c r="B19" s="5" t="inlineStr">
        <is>
          <t>•  'Designing a Dashboard' covers the layout choices an assessor asks about.</t>
        </is>
      </c>
    </row>
    <row r="20" ht="16" customHeight="1">
      <c r="B20" s="5" t="inlineStr">
        <is>
          <t>•  Support is your glossary. Stretch goes further. Tick the Confidence gate at the end.</t>
        </is>
      </c>
    </row>
  </sheetData>
  <mergeCells count="11">
    <mergeCell ref="B12:I12"/>
    <mergeCell ref="B13:I13"/>
    <mergeCell ref="B18:I18"/>
    <mergeCell ref="B11:I11"/>
    <mergeCell ref="B16:I16"/>
    <mergeCell ref="B20:I20"/>
    <mergeCell ref="B10:I10"/>
    <mergeCell ref="B19:I19"/>
    <mergeCell ref="B14:I14"/>
    <mergeCell ref="B4:I4"/>
    <mergeCell ref="B17:I17"/>
  </mergeCells>
  <pageMargins left="0.75" right="0.75" top="1" bottom="1" header="0.5" footer="0.5"/>
</worksheet>
</file>

<file path=xl/worksheets/sheet2.xml><?xml version="1.0" encoding="utf-8"?>
<worksheet xmlns="http://schemas.openxmlformats.org/spreadsheetml/2006/main">
  <sheetPr>
    <tabColor rgb="FF2E8B8B"/>
    <outlinePr summaryBelow="1" summaryRight="1"/>
    <pageSetUpPr/>
  </sheetPr>
  <dimension ref="A1:I23"/>
  <sheetViews>
    <sheetView showGridLines="0" workbookViewId="0">
      <selection activeCell="A1" sqref="A1"/>
    </sheetView>
  </sheetViews>
  <sheetFormatPr baseColWidth="8" defaultRowHeight="15"/>
  <cols>
    <col width="2" customWidth="1" min="1" max="1"/>
    <col width="16" customWidth="1" min="2" max="2"/>
    <col width="12" customWidth="1" min="3" max="3"/>
    <col width="12" customWidth="1" min="4" max="4"/>
    <col width="12" customWidth="1" min="5" max="5"/>
    <col width="12" customWidth="1" min="6" max="6"/>
    <col width="12" customWidth="1" min="7" max="7"/>
    <col width="12" customWidth="1" min="8" max="8"/>
    <col width="4" customWidth="1" min="9" max="9"/>
  </cols>
  <sheetData>
    <row r="1" ht="34" customHeight="1">
      <c r="A1" s="1" t="inlineStr">
        <is>
          <t>Designing a Dashboard</t>
        </is>
      </c>
      <c r="B1" s="2" t="n"/>
      <c r="C1" s="2" t="n"/>
      <c r="D1" s="2" t="n"/>
      <c r="E1" s="2" t="n"/>
      <c r="F1" s="2" t="n"/>
      <c r="G1" s="2" t="n"/>
      <c r="H1" s="2" t="n"/>
      <c r="I1" s="2" t="n"/>
    </row>
    <row r="2" ht="20" customHeight="1">
      <c r="A2" s="3" t="inlineStr">
        <is>
          <t>The choices that make it clear — and answerable in questioning</t>
        </is>
      </c>
      <c r="B2" s="4" t="n"/>
      <c r="C2" s="4" t="n"/>
      <c r="D2" s="4" t="n"/>
      <c r="E2" s="4" t="n"/>
      <c r="F2" s="4" t="n"/>
      <c r="G2" s="4" t="n"/>
      <c r="H2" s="4" t="n"/>
      <c r="I2" s="4" t="n"/>
    </row>
    <row r="4" ht="18" customHeight="1">
      <c r="B4" s="6" t="inlineStr">
        <is>
          <t>START WITH THE QUESTIONS, NOT THE CHARTS</t>
        </is>
      </c>
      <c r="C4" s="7" t="n"/>
      <c r="D4" s="7" t="n"/>
      <c r="E4" s="7" t="n"/>
      <c r="F4" s="7" t="n"/>
      <c r="G4" s="7" t="n"/>
      <c r="H4" s="7" t="n"/>
      <c r="I4" s="7" t="n"/>
    </row>
    <row r="5" ht="49" customHeight="1">
      <c r="B5" s="5" t="inlineStr">
        <is>
          <t>A dashboard exists to answer specific questions — 'how many members, earning how much, doing what?'. Decide the three or four questions first, then each KPI and chart earns its place by answering one. Anything that answers nothing is clutter.</t>
        </is>
      </c>
    </row>
    <row r="10" ht="18" customHeight="1">
      <c r="B10" s="6" t="inlineStr">
        <is>
          <t>PICK THE RIGHT VISUAL FOR THE QUESTION</t>
        </is>
      </c>
      <c r="C10" s="7" t="n"/>
      <c r="D10" s="7" t="n"/>
      <c r="E10" s="7" t="n"/>
      <c r="F10" s="7" t="n"/>
      <c r="G10" s="7" t="n"/>
      <c r="H10" s="7" t="n"/>
      <c r="I10" s="7" t="n"/>
    </row>
    <row r="11" ht="49" customHeight="1">
      <c r="B11" s="5" t="inlineStr">
        <is>
          <t>Column/bar chart to RANK or COMPARE categories (revenue by type). Line chart for change over TIME. Pie only for parts of ONE whole, and only with a few slices. A KPI card for a single headline number. The wrong chart hides the very pattern you're trying to show.</t>
        </is>
      </c>
    </row>
    <row r="16" ht="18" customHeight="1">
      <c r="B16" s="6" t="inlineStr">
        <is>
          <t>ONE SLICER, WHOLE PAGE</t>
        </is>
      </c>
      <c r="C16" s="7" t="n"/>
      <c r="D16" s="7" t="n"/>
      <c r="E16" s="7" t="n"/>
      <c r="F16" s="7" t="n"/>
      <c r="G16" s="7" t="n"/>
      <c r="H16" s="7" t="n"/>
      <c r="I16" s="7" t="n"/>
    </row>
    <row r="17" ht="49" customHeight="1">
      <c r="B17" s="5" t="inlineStr">
        <is>
          <t>A slicer is a clickable filter. Connect ONE slicer (e.g. Membership Type) to several pivots via Report Connections and a single click filters the entire dashboard at once — that interactivity is what separates a dashboard from a static report.</t>
        </is>
      </c>
    </row>
    <row r="22" ht="18" customHeight="1">
      <c r="B22" s="6" t="inlineStr">
        <is>
          <t>LAYOUT: TIDY EARNS TRUST</t>
        </is>
      </c>
      <c r="C22" s="7" t="n"/>
      <c r="D22" s="7" t="n"/>
      <c r="E22" s="7" t="n"/>
      <c r="F22" s="7" t="n"/>
      <c r="G22" s="7" t="n"/>
      <c r="H22" s="7" t="n"/>
      <c r="I22" s="7" t="n"/>
    </row>
    <row r="23" ht="34" customHeight="1">
      <c r="B23" s="5" t="inlineStr">
        <is>
          <t>KPIs across the top, charts below, aligned to a grid, gridlines off, clear titles, consistent colours. Get it working first, then tidy. A clean layout signals the numbers can be trusted.</t>
        </is>
      </c>
    </row>
  </sheetData>
  <mergeCells count="8">
    <mergeCell ref="B11:I11"/>
    <mergeCell ref="B16:I16"/>
    <mergeCell ref="B10:I10"/>
    <mergeCell ref="B5:I5"/>
    <mergeCell ref="B22:I22"/>
    <mergeCell ref="B23:I23"/>
    <mergeCell ref="B4:I4"/>
    <mergeCell ref="B17:I17"/>
  </mergeCells>
  <pageMargins left="0.75" right="0.75" top="1" bottom="1" header="0.5" footer="0.5"/>
</worksheet>
</file>

<file path=xl/worksheets/sheet3.xml><?xml version="1.0" encoding="utf-8"?>
<worksheet xmlns="http://schemas.openxmlformats.org/spreadsheetml/2006/main">
  <sheetPr>
    <tabColor rgb="FF8B7E96"/>
    <outlinePr summaryBelow="1" summaryRight="1"/>
    <pageSetUpPr/>
  </sheetPr>
  <dimension ref="A1:I30"/>
  <sheetViews>
    <sheetView showGridLines="0" workbookViewId="0">
      <selection activeCell="A1" sqref="A1"/>
    </sheetView>
  </sheetViews>
  <sheetFormatPr baseColWidth="8" defaultRowHeight="15"/>
  <cols>
    <col width="12" customWidth="1" min="1" max="1"/>
    <col width="16" customWidth="1" min="2" max="2"/>
    <col width="16" customWidth="1" min="3" max="3"/>
    <col width="16" customWidth="1" min="4" max="4"/>
    <col width="16" customWidth="1" min="5" max="5"/>
  </cols>
  <sheetData>
    <row r="1" ht="34" customHeight="1">
      <c r="A1" s="1" t="inlineStr">
        <is>
          <t>Club Data — Riverside</t>
        </is>
      </c>
      <c r="B1" s="2" t="n"/>
      <c r="C1" s="2" t="n"/>
      <c r="D1" s="2" t="n"/>
      <c r="E1" s="2" t="n"/>
      <c r="F1" s="2" t="n"/>
      <c r="G1" s="2" t="n"/>
      <c r="H1" s="2" t="n"/>
      <c r="I1" s="2" t="n"/>
    </row>
    <row r="2" ht="20" customHeight="1">
      <c r="A2" s="3" t="inlineStr">
        <is>
          <t>24 members · every task reads from here</t>
        </is>
      </c>
      <c r="B2" s="4" t="n"/>
      <c r="C2" s="4" t="n"/>
      <c r="D2" s="4" t="n"/>
      <c r="E2" s="4" t="n"/>
      <c r="F2" s="4" t="n"/>
      <c r="G2" s="4" t="n"/>
      <c r="H2" s="4" t="n"/>
      <c r="I2" s="4" t="n"/>
    </row>
    <row r="4">
      <c r="A4" s="8" t="inlineStr">
        <is>
          <t>MemberID</t>
        </is>
      </c>
      <c r="B4" s="8" t="inlineStr">
        <is>
          <t>Type</t>
        </is>
      </c>
      <c r="C4" s="8" t="inlineStr">
        <is>
          <t>Activity</t>
        </is>
      </c>
      <c r="D4" s="8" t="inlineStr">
        <is>
          <t>Fee (£)</t>
        </is>
      </c>
    </row>
    <row r="5">
      <c r="A5" t="inlineStr">
        <is>
          <t>M001</t>
        </is>
      </c>
      <c r="B5" t="inlineStr">
        <is>
          <t>Adult</t>
        </is>
      </c>
      <c r="C5" t="inlineStr">
        <is>
          <t>Swim</t>
        </is>
      </c>
      <c r="D5" t="n">
        <v>35</v>
      </c>
    </row>
    <row r="6">
      <c r="A6" t="inlineStr">
        <is>
          <t>M002</t>
        </is>
      </c>
      <c r="B6" t="inlineStr">
        <is>
          <t>Adult</t>
        </is>
      </c>
      <c r="C6" t="inlineStr">
        <is>
          <t>Gym</t>
        </is>
      </c>
      <c r="D6" t="n">
        <v>35</v>
      </c>
    </row>
    <row r="7">
      <c r="A7" t="inlineStr">
        <is>
          <t>M003</t>
        </is>
      </c>
      <c r="B7" t="inlineStr">
        <is>
          <t>Adult</t>
        </is>
      </c>
      <c r="C7" t="inlineStr">
        <is>
          <t>Tennis</t>
        </is>
      </c>
      <c r="D7" t="n">
        <v>35</v>
      </c>
    </row>
    <row r="8">
      <c r="A8" t="inlineStr">
        <is>
          <t>M004</t>
        </is>
      </c>
      <c r="B8" t="inlineStr">
        <is>
          <t>Adult</t>
        </is>
      </c>
      <c r="C8" t="inlineStr">
        <is>
          <t>Classes</t>
        </is>
      </c>
      <c r="D8" t="n">
        <v>35</v>
      </c>
    </row>
    <row r="9">
      <c r="A9" t="inlineStr">
        <is>
          <t>M005</t>
        </is>
      </c>
      <c r="B9" t="inlineStr">
        <is>
          <t>Adult</t>
        </is>
      </c>
      <c r="C9" t="inlineStr">
        <is>
          <t>Swim</t>
        </is>
      </c>
      <c r="D9" t="n">
        <v>35</v>
      </c>
    </row>
    <row r="10">
      <c r="A10" t="inlineStr">
        <is>
          <t>M006</t>
        </is>
      </c>
      <c r="B10" t="inlineStr">
        <is>
          <t>Adult</t>
        </is>
      </c>
      <c r="C10" t="inlineStr">
        <is>
          <t>Gym</t>
        </is>
      </c>
      <c r="D10" t="n">
        <v>35</v>
      </c>
    </row>
    <row r="11">
      <c r="A11" t="inlineStr">
        <is>
          <t>M007</t>
        </is>
      </c>
      <c r="B11" t="inlineStr">
        <is>
          <t>Adult</t>
        </is>
      </c>
      <c r="C11" t="inlineStr">
        <is>
          <t>Swim</t>
        </is>
      </c>
      <c r="D11" t="n">
        <v>35</v>
      </c>
    </row>
    <row r="12">
      <c r="A12" t="inlineStr">
        <is>
          <t>M008</t>
        </is>
      </c>
      <c r="B12" t="inlineStr">
        <is>
          <t>Adult</t>
        </is>
      </c>
      <c r="C12" t="inlineStr">
        <is>
          <t>Tennis</t>
        </is>
      </c>
      <c r="D12" t="n">
        <v>35</v>
      </c>
    </row>
    <row r="13">
      <c r="A13" t="inlineStr">
        <is>
          <t>M009</t>
        </is>
      </c>
      <c r="B13" t="inlineStr">
        <is>
          <t>Senior</t>
        </is>
      </c>
      <c r="C13" t="inlineStr">
        <is>
          <t>Swim</t>
        </is>
      </c>
      <c r="D13" t="n">
        <v>28</v>
      </c>
    </row>
    <row r="14">
      <c r="A14" t="inlineStr">
        <is>
          <t>M010</t>
        </is>
      </c>
      <c r="B14" t="inlineStr">
        <is>
          <t>Senior</t>
        </is>
      </c>
      <c r="C14" t="inlineStr">
        <is>
          <t>Gym</t>
        </is>
      </c>
      <c r="D14" t="n">
        <v>28</v>
      </c>
    </row>
    <row r="15">
      <c r="A15" t="inlineStr">
        <is>
          <t>M011</t>
        </is>
      </c>
      <c r="B15" t="inlineStr">
        <is>
          <t>Senior</t>
        </is>
      </c>
      <c r="C15" t="inlineStr">
        <is>
          <t>Classes</t>
        </is>
      </c>
      <c r="D15" t="n">
        <v>28</v>
      </c>
    </row>
    <row r="16">
      <c r="A16" t="inlineStr">
        <is>
          <t>M012</t>
        </is>
      </c>
      <c r="B16" t="inlineStr">
        <is>
          <t>Senior</t>
        </is>
      </c>
      <c r="C16" t="inlineStr">
        <is>
          <t>Swim</t>
        </is>
      </c>
      <c r="D16" t="n">
        <v>28</v>
      </c>
    </row>
    <row r="17">
      <c r="A17" t="inlineStr">
        <is>
          <t>M013</t>
        </is>
      </c>
      <c r="B17" t="inlineStr">
        <is>
          <t>Senior</t>
        </is>
      </c>
      <c r="C17" t="inlineStr">
        <is>
          <t>Gym</t>
        </is>
      </c>
      <c r="D17" t="n">
        <v>28</v>
      </c>
    </row>
    <row r="18">
      <c r="A18" t="inlineStr">
        <is>
          <t>M014</t>
        </is>
      </c>
      <c r="B18" t="inlineStr">
        <is>
          <t>Senior</t>
        </is>
      </c>
      <c r="C18" t="inlineStr">
        <is>
          <t>Tennis</t>
        </is>
      </c>
      <c r="D18" t="n">
        <v>28</v>
      </c>
    </row>
    <row r="19">
      <c r="A19" t="inlineStr">
        <is>
          <t>M015</t>
        </is>
      </c>
      <c r="B19" t="inlineStr">
        <is>
          <t>Family</t>
        </is>
      </c>
      <c r="C19" t="inlineStr">
        <is>
          <t>Classes</t>
        </is>
      </c>
      <c r="D19" t="n">
        <v>55</v>
      </c>
    </row>
    <row r="20">
      <c r="A20" t="inlineStr">
        <is>
          <t>M016</t>
        </is>
      </c>
      <c r="B20" t="inlineStr">
        <is>
          <t>Family</t>
        </is>
      </c>
      <c r="C20" t="inlineStr">
        <is>
          <t>Swim</t>
        </is>
      </c>
      <c r="D20" t="n">
        <v>55</v>
      </c>
    </row>
    <row r="21">
      <c r="A21" t="inlineStr">
        <is>
          <t>M017</t>
        </is>
      </c>
      <c r="B21" t="inlineStr">
        <is>
          <t>Family</t>
        </is>
      </c>
      <c r="C21" t="inlineStr">
        <is>
          <t>Gym</t>
        </is>
      </c>
      <c r="D21" t="n">
        <v>55</v>
      </c>
    </row>
    <row r="22">
      <c r="A22" t="inlineStr">
        <is>
          <t>M018</t>
        </is>
      </c>
      <c r="B22" t="inlineStr">
        <is>
          <t>Family</t>
        </is>
      </c>
      <c r="C22" t="inlineStr">
        <is>
          <t>Classes</t>
        </is>
      </c>
      <c r="D22" t="n">
        <v>55</v>
      </c>
    </row>
    <row r="23">
      <c r="A23" t="inlineStr">
        <is>
          <t>M019</t>
        </is>
      </c>
      <c r="B23" t="inlineStr">
        <is>
          <t>Family</t>
        </is>
      </c>
      <c r="C23" t="inlineStr">
        <is>
          <t>Swim</t>
        </is>
      </c>
      <c r="D23" t="n">
        <v>55</v>
      </c>
    </row>
    <row r="24">
      <c r="A24" t="inlineStr">
        <is>
          <t>M020</t>
        </is>
      </c>
      <c r="B24" t="inlineStr">
        <is>
          <t>Junior</t>
        </is>
      </c>
      <c r="C24" t="inlineStr">
        <is>
          <t>Swim</t>
        </is>
      </c>
      <c r="D24" t="n">
        <v>20</v>
      </c>
    </row>
    <row r="25">
      <c r="A25" t="inlineStr">
        <is>
          <t>M021</t>
        </is>
      </c>
      <c r="B25" t="inlineStr">
        <is>
          <t>Junior</t>
        </is>
      </c>
      <c r="C25" t="inlineStr">
        <is>
          <t>Gym</t>
        </is>
      </c>
      <c r="D25" t="n">
        <v>20</v>
      </c>
    </row>
    <row r="26">
      <c r="A26" t="inlineStr">
        <is>
          <t>M022</t>
        </is>
      </c>
      <c r="B26" t="inlineStr">
        <is>
          <t>Junior</t>
        </is>
      </c>
      <c r="C26" t="inlineStr">
        <is>
          <t>Classes</t>
        </is>
      </c>
      <c r="D26" t="n">
        <v>20</v>
      </c>
    </row>
    <row r="27">
      <c r="A27" t="inlineStr">
        <is>
          <t>M023</t>
        </is>
      </c>
      <c r="B27" t="inlineStr">
        <is>
          <t>Junior</t>
        </is>
      </c>
      <c r="C27" t="inlineStr">
        <is>
          <t>Tennis</t>
        </is>
      </c>
      <c r="D27" t="n">
        <v>20</v>
      </c>
    </row>
    <row r="28">
      <c r="A28" t="inlineStr">
        <is>
          <t>M024</t>
        </is>
      </c>
      <c r="B28" t="inlineStr">
        <is>
          <t>Junior</t>
        </is>
      </c>
      <c r="C28" t="inlineStr">
        <is>
          <t>Swim</t>
        </is>
      </c>
      <c r="D28" t="n">
        <v>20</v>
      </c>
    </row>
    <row r="30" ht="19" customHeight="1">
      <c r="B30" s="5" t="inlineStr">
        <is>
          <t>Type is column B (B5:B28), Activity column C, Fee column D (D5:D28). Data runs rows 5 to 28.</t>
        </is>
      </c>
    </row>
  </sheetData>
  <mergeCells count="1">
    <mergeCell ref="B30:I30"/>
  </mergeCells>
  <pageMargins left="0.75" right="0.75" top="1" bottom="1" header="0.5" footer="0.5"/>
</worksheet>
</file>

<file path=xl/worksheets/sheet4.xml><?xml version="1.0" encoding="utf-8"?>
<worksheet xmlns="http://schemas.openxmlformats.org/spreadsheetml/2006/main">
  <sheetPr>
    <tabColor rgb="FF7B4BA8"/>
    <outlinePr summaryBelow="1" summaryRight="1"/>
    <pageSetUpPr/>
  </sheetPr>
  <dimension ref="A1:I18"/>
  <sheetViews>
    <sheetView showGridLines="0" workbookViewId="0">
      <selection activeCell="A1" sqref="A1"/>
    </sheetView>
  </sheetViews>
  <sheetFormatPr baseColWidth="8" defaultRowHeight="15"/>
  <cols>
    <col width="2" customWidth="1" min="1" max="1"/>
    <col width="34" customWidth="1" min="2" max="2"/>
    <col width="2" customWidth="1" min="3" max="3"/>
    <col width="26" customWidth="1" min="4" max="4"/>
    <col width="2" customWidth="1" min="5" max="5"/>
    <col width="14" customWidth="1" min="6" max="6"/>
    <col width="15" customWidth="1" min="7" max="7"/>
    <col width="4" customWidth="1" min="8" max="8"/>
  </cols>
  <sheetData>
    <row r="1" ht="34" customHeight="1">
      <c r="A1" s="1" t="inlineStr">
        <is>
          <t>Task 1 — KPI cards</t>
        </is>
      </c>
      <c r="B1" s="2" t="n"/>
      <c r="C1" s="2" t="n"/>
      <c r="D1" s="2" t="n"/>
      <c r="E1" s="2" t="n"/>
      <c r="F1" s="2" t="n"/>
      <c r="G1" s="2" t="n"/>
      <c r="H1" s="2" t="n"/>
      <c r="I1" s="2" t="n"/>
    </row>
    <row r="2" ht="20" customHeight="1">
      <c r="A2" s="3" t="inlineStr">
        <is>
          <t>The headline single numbers</t>
        </is>
      </c>
      <c r="B2" s="4" t="n"/>
      <c r="C2" s="4" t="n"/>
      <c r="D2" s="4" t="n"/>
      <c r="E2" s="4" t="n"/>
      <c r="F2" s="4" t="n"/>
      <c r="G2" s="4" t="n"/>
      <c r="H2" s="4" t="n"/>
      <c r="I2" s="4" t="n"/>
    </row>
    <row r="4" ht="18" customHeight="1">
      <c r="B4" s="6" t="inlineStr">
        <is>
          <t>WHAT IT DOES</t>
        </is>
      </c>
      <c r="C4" s="7" t="n"/>
      <c r="D4" s="7" t="n"/>
      <c r="E4" s="7" t="n"/>
      <c r="F4" s="7" t="n"/>
      <c r="G4" s="7" t="n"/>
      <c r="H4" s="7" t="n"/>
      <c r="I4" s="7" t="n"/>
    </row>
    <row r="5" ht="34" customHeight="1">
      <c r="B5" s="9" t="inlineStr">
        <is>
          <t>A KPI card is one big number that answers a headline question. You calculate it with a simple aggregate over the data, then display it large on the dashboard.</t>
        </is>
      </c>
    </row>
    <row r="7" ht="18" customHeight="1">
      <c r="B7" s="6" t="inlineStr">
        <is>
          <t>WORKED EXAMPLE</t>
        </is>
      </c>
      <c r="C7" s="7" t="n"/>
      <c r="D7" s="7" t="n"/>
      <c r="E7" s="7" t="n"/>
      <c r="F7" s="7" t="n"/>
      <c r="G7" s="7" t="n"/>
      <c r="H7" s="7" t="n"/>
      <c r="I7" s="7" t="n"/>
    </row>
    <row r="8" ht="19" customHeight="1">
      <c r="B8" s="10">
        <f>COUNTA('Club Data'!B5:B28)  →  24 members      =SUM('Club Data'!D5:D28)  →  total fees</f>
        <v/>
      </c>
      <c r="C8" s="11" t="n"/>
      <c r="D8" s="11" t="n"/>
      <c r="E8" s="11" t="n"/>
      <c r="F8" s="11" t="n"/>
      <c r="G8" s="11" t="n"/>
      <c r="H8" s="11" t="n"/>
      <c r="I8" s="11" t="n"/>
    </row>
    <row r="10" ht="18" customHeight="1">
      <c r="B10" s="12" t="inlineStr">
        <is>
          <t>⚠  COMMON MISTAKE</t>
        </is>
      </c>
      <c r="C10" s="13" t="n"/>
      <c r="D10" s="13" t="n"/>
      <c r="E10" s="13" t="n"/>
      <c r="F10" s="13" t="n"/>
      <c r="G10" s="13" t="n"/>
      <c r="H10" s="13" t="n"/>
      <c r="I10" s="13" t="n"/>
    </row>
    <row r="11" ht="34" customHeight="1">
      <c r="B11" s="9" t="inlineStr">
        <is>
          <t>Counting the wrong column (e.g. a column with blanks) gives the wrong headline. Count a column that's always filled, like Type.</t>
        </is>
      </c>
    </row>
    <row r="14" ht="18" customHeight="1">
      <c r="B14" s="14" t="inlineStr">
        <is>
          <t>Now you try — type your formula in the amber cell:</t>
        </is>
      </c>
    </row>
    <row r="15" ht="24" customHeight="1">
      <c r="B15" s="15" t="inlineStr">
        <is>
          <t>What to calculate</t>
        </is>
      </c>
      <c r="D15" s="15" t="inlineStr">
        <is>
          <t>Type this kind of formula</t>
        </is>
      </c>
      <c r="F15" s="15" t="inlineStr">
        <is>
          <t>Your result</t>
        </is>
      </c>
      <c r="G15" s="15" t="inlineStr">
        <is>
          <t>Check</t>
        </is>
      </c>
    </row>
    <row r="16" ht="30" customHeight="1">
      <c r="B16" s="16" t="inlineStr">
        <is>
          <t>Total number of members</t>
        </is>
      </c>
      <c r="D16" s="17" t="inlineStr">
        <is>
          <t>e.g.  =COUNTA('Club Data'!$B$5:$B$28)</t>
        </is>
      </c>
      <c r="F16" s="18" t="n"/>
      <c r="G16" s="19">
        <f>IF(F16="","",IFERROR(IF(ABS(F16-24)&lt;0.01,"✓  Correct","✗  Try again"),"✗  Try again"))</f>
        <v/>
      </c>
    </row>
    <row r="17" ht="30" customHeight="1">
      <c r="B17" s="16" t="inlineStr">
        <is>
          <t>Total revenue from fees (£)</t>
        </is>
      </c>
      <c r="D17" s="17" t="inlineStr">
        <is>
          <t>e.g.  =SUM('Club Data'!$D$5:$D$28)</t>
        </is>
      </c>
      <c r="F17" s="18" t="n"/>
      <c r="G17" s="19">
        <f>IF(F17="","",IFERROR(IF(ABS(F17-823)&lt;0.01,"✓  Correct","✗  Try again"),"✗  Try again"))</f>
        <v/>
      </c>
    </row>
    <row r="18" ht="30" customHeight="1">
      <c r="B18" s="16" t="inlineStr">
        <is>
          <t>Average fee per member (£)</t>
        </is>
      </c>
      <c r="D18" s="17" t="inlineStr">
        <is>
          <t>e.g.  =AVERAGE('Club Data'!$D$5:$D$28)</t>
        </is>
      </c>
      <c r="F18" s="18" t="n"/>
      <c r="G18" s="19">
        <f>IF(F18="","",IFERROR(IF(ABS(F18-34.29)&lt;0.01,"✓  Correct","✗  Try again"),"✗  Try again"))</f>
        <v/>
      </c>
    </row>
  </sheetData>
  <mergeCells count="7">
    <mergeCell ref="B7:I7"/>
    <mergeCell ref="B11:I11"/>
    <mergeCell ref="B10:I10"/>
    <mergeCell ref="B5:I5"/>
    <mergeCell ref="B14:I14"/>
    <mergeCell ref="B8:I8"/>
    <mergeCell ref="B4:I4"/>
  </mergeCells>
  <pageMargins left="0.75" right="0.75" top="1" bottom="1" header="0.5" footer="0.5"/>
</worksheet>
</file>

<file path=xl/worksheets/sheet5.xml><?xml version="1.0" encoding="utf-8"?>
<worksheet xmlns="http://schemas.openxmlformats.org/spreadsheetml/2006/main">
  <sheetPr>
    <tabColor rgb="FF7B4BA8"/>
    <outlinePr summaryBelow="1" summaryRight="1"/>
    <pageSetUpPr/>
  </sheetPr>
  <dimension ref="A1:I18"/>
  <sheetViews>
    <sheetView showGridLines="0" workbookViewId="0">
      <selection activeCell="A1" sqref="A1"/>
    </sheetView>
  </sheetViews>
  <sheetFormatPr baseColWidth="8" defaultRowHeight="15"/>
  <cols>
    <col width="2" customWidth="1" min="1" max="1"/>
    <col width="34" customWidth="1" min="2" max="2"/>
    <col width="2" customWidth="1" min="3" max="3"/>
    <col width="26" customWidth="1" min="4" max="4"/>
    <col width="2" customWidth="1" min="5" max="5"/>
    <col width="14" customWidth="1" min="6" max="6"/>
    <col width="15" customWidth="1" min="7" max="7"/>
    <col width="4" customWidth="1" min="8" max="8"/>
  </cols>
  <sheetData>
    <row r="1" ht="34" customHeight="1">
      <c r="A1" s="1" t="inlineStr">
        <is>
          <t>Task 2 — Pivot breakdowns</t>
        </is>
      </c>
      <c r="B1" s="2" t="n"/>
      <c r="C1" s="2" t="n"/>
      <c r="D1" s="2" t="n"/>
      <c r="E1" s="2" t="n"/>
      <c r="F1" s="2" t="n"/>
      <c r="G1" s="2" t="n"/>
      <c r="H1" s="2" t="n"/>
      <c r="I1" s="2" t="n"/>
    </row>
    <row r="2" ht="20" customHeight="1">
      <c r="A2" s="3" t="inlineStr">
        <is>
          <t>Read the values your pivots would show</t>
        </is>
      </c>
      <c r="B2" s="4" t="n"/>
      <c r="C2" s="4" t="n"/>
      <c r="D2" s="4" t="n"/>
      <c r="E2" s="4" t="n"/>
      <c r="F2" s="4" t="n"/>
      <c r="G2" s="4" t="n"/>
      <c r="H2" s="4" t="n"/>
      <c r="I2" s="4" t="n"/>
    </row>
    <row r="4" ht="18" customHeight="1">
      <c r="B4" s="6" t="inlineStr">
        <is>
          <t>WHAT IT DOES</t>
        </is>
      </c>
      <c r="C4" s="7" t="n"/>
      <c r="D4" s="7" t="n"/>
      <c r="E4" s="7" t="n"/>
      <c r="F4" s="7" t="n"/>
      <c r="G4" s="7" t="n"/>
      <c r="H4" s="7" t="n"/>
      <c r="I4" s="7" t="n"/>
    </row>
    <row r="5" ht="34" customHeight="1">
      <c r="B5" s="9" t="inlineStr">
        <is>
          <t>Behind every dashboard chart is a pivot that groups and totals. You can get the same numbers with SUMIF / COUNTIF to check your pivot is right.</t>
        </is>
      </c>
    </row>
    <row r="7" ht="18" customHeight="1">
      <c r="B7" s="6" t="inlineStr">
        <is>
          <t>WORKED EXAMPLE</t>
        </is>
      </c>
      <c r="C7" s="7" t="n"/>
      <c r="D7" s="7" t="n"/>
      <c r="E7" s="7" t="n"/>
      <c r="F7" s="7" t="n"/>
      <c r="G7" s="7" t="n"/>
      <c r="H7" s="7" t="n"/>
      <c r="I7" s="7" t="n"/>
    </row>
    <row r="8" ht="19" customHeight="1">
      <c r="B8" s="10">
        <f>SUMIF('Club Data'!C5:C28,"Swim",...) or =COUNTIF(...). A pivot of Fee by Type gives the same totals.</f>
        <v/>
      </c>
      <c r="C8" s="11" t="n"/>
      <c r="D8" s="11" t="n"/>
      <c r="E8" s="11" t="n"/>
      <c r="F8" s="11" t="n"/>
      <c r="G8" s="11" t="n"/>
      <c r="H8" s="11" t="n"/>
      <c r="I8" s="11" t="n"/>
    </row>
    <row r="10" ht="18" customHeight="1">
      <c r="B10" s="12" t="inlineStr">
        <is>
          <t>⚠  COMMON MISTAKE</t>
        </is>
      </c>
      <c r="C10" s="13" t="n"/>
      <c r="D10" s="13" t="n"/>
      <c r="E10" s="13" t="n"/>
      <c r="F10" s="13" t="n"/>
      <c r="G10" s="13" t="n"/>
      <c r="H10" s="13" t="n"/>
      <c r="I10" s="13" t="n"/>
    </row>
    <row r="11" ht="19" customHeight="1">
      <c r="B11" s="9" t="inlineStr">
        <is>
          <t>Reading a pivot's Grand Total when the question asked for one category. Read the right cell, not the total.</t>
        </is>
      </c>
    </row>
    <row r="13" ht="18" customHeight="1">
      <c r="B13" s="14" t="inlineStr">
        <is>
          <t>Now you try — type your formula in the amber cell:</t>
        </is>
      </c>
    </row>
    <row r="14" ht="24" customHeight="1">
      <c r="B14" s="15" t="inlineStr">
        <is>
          <t>What to calculate</t>
        </is>
      </c>
      <c r="D14" s="15" t="inlineStr">
        <is>
          <t>Type this kind of formula</t>
        </is>
      </c>
      <c r="F14" s="15" t="inlineStr">
        <is>
          <t>Your result</t>
        </is>
      </c>
      <c r="G14" s="15" t="inlineStr">
        <is>
          <t>Check</t>
        </is>
      </c>
    </row>
    <row r="15" ht="30" customHeight="1">
      <c r="B15" s="16" t="inlineStr">
        <is>
          <t>Total fee revenue from ADULT members (£)</t>
        </is>
      </c>
      <c r="D15" s="17" t="inlineStr">
        <is>
          <t>e.g.  =SUMIF('Club Data'!$B$5:$B$28,"Adult",'Club Data'!$D$5:$D$28)</t>
        </is>
      </c>
      <c r="F15" s="18" t="n"/>
      <c r="G15" s="19">
        <f>IF(F15="","",IFERROR(IF(ABS(F15-280)&lt;0.01,"✓  Correct","✗  Try again"),"✗  Try again"))</f>
        <v/>
      </c>
    </row>
    <row r="16" ht="30" customHeight="1">
      <c r="B16" s="16" t="inlineStr">
        <is>
          <t>How many members do the SWIM activity?</t>
        </is>
      </c>
      <c r="D16" s="17" t="inlineStr">
        <is>
          <t>e.g.  =COUNTIF('Club Data'!$C$5:$C$28,"Swim")</t>
        </is>
      </c>
      <c r="F16" s="18" t="n"/>
      <c r="G16" s="19">
        <f>IF(F16="","",IFERROR(IF(ABS(F16-9)&lt;0.01,"✓  Correct","✗  Try again"),"✗  Try again"))</f>
        <v/>
      </c>
    </row>
    <row r="17" ht="30" customHeight="1">
      <c r="B17" s="16" t="inlineStr">
        <is>
          <t>Which membership type brings the MOST fee revenue? (one word)</t>
        </is>
      </c>
      <c r="D17" s="17" t="inlineStr">
        <is>
          <t>read your pivot</t>
        </is>
      </c>
      <c r="F17" s="18" t="n"/>
      <c r="G17" s="19">
        <f>IF(F17="","",IF(ISNUMBER(SEARCH("Adult",F17)),"✓  Correct","✗  Try again"))</f>
        <v/>
      </c>
    </row>
    <row r="18" ht="30" customHeight="1">
      <c r="B18" s="16" t="inlineStr">
        <is>
          <t>For showing each type's SHARE of total revenue, which chart? (one word)</t>
        </is>
      </c>
      <c r="D18" s="17" t="inlineStr">
        <is>
          <t>a chart type</t>
        </is>
      </c>
      <c r="F18" s="18" t="n"/>
      <c r="G18" s="19">
        <f>IF(F18="","",IF(ISNUMBER(SEARCH("Pie",F18)),"✓  Correct","✗  Try again"))</f>
        <v/>
      </c>
    </row>
  </sheetData>
  <mergeCells count="7">
    <mergeCell ref="B13:I13"/>
    <mergeCell ref="B7:I7"/>
    <mergeCell ref="B11:I11"/>
    <mergeCell ref="B10:I10"/>
    <mergeCell ref="B5:I5"/>
    <mergeCell ref="B8:I8"/>
    <mergeCell ref="B4:I4"/>
  </mergeCells>
  <pageMargins left="0.75" right="0.75" top="1" bottom="1" header="0.5" footer="0.5"/>
</worksheet>
</file>

<file path=xl/worksheets/sheet6.xml><?xml version="1.0" encoding="utf-8"?>
<worksheet xmlns="http://schemas.openxmlformats.org/spreadsheetml/2006/main">
  <sheetPr>
    <tabColor rgb="FF548235"/>
    <outlinePr summaryBelow="1" summaryRight="1"/>
    <pageSetUpPr/>
  </sheetPr>
  <dimension ref="A1:I13"/>
  <sheetViews>
    <sheetView showGridLines="0" workbookViewId="0">
      <selection activeCell="A1" sqref="A1"/>
    </sheetView>
  </sheetViews>
  <sheetFormatPr baseColWidth="8" defaultRowHeight="15"/>
  <cols>
    <col width="2" customWidth="1" min="1" max="1"/>
    <col width="20" customWidth="1" min="2" max="2"/>
    <col width="12" customWidth="1" min="3" max="3"/>
    <col width="12" customWidth="1" min="4" max="4"/>
    <col width="12" customWidth="1" min="5" max="5"/>
    <col width="12" customWidth="1" min="6" max="6"/>
    <col width="12" customWidth="1" min="7" max="7"/>
    <col width="12" customWidth="1" min="8" max="8"/>
    <col width="4" customWidth="1" min="9" max="9"/>
  </cols>
  <sheetData>
    <row r="1" ht="34" customHeight="1">
      <c r="A1" s="1" t="inlineStr">
        <is>
          <t>Support — your glossary</t>
        </is>
      </c>
      <c r="B1" s="2" t="n"/>
      <c r="C1" s="2" t="n"/>
      <c r="D1" s="2" t="n"/>
      <c r="E1" s="2" t="n"/>
      <c r="F1" s="2" t="n"/>
      <c r="G1" s="2" t="n"/>
      <c r="H1" s="2" t="n"/>
      <c r="I1" s="2" t="n"/>
    </row>
    <row r="2" ht="20" customHeight="1">
      <c r="A2" s="3" t="inlineStr">
        <is>
          <t>Dashboard terms at a glance</t>
        </is>
      </c>
      <c r="B2" s="4" t="n"/>
      <c r="C2" s="4" t="n"/>
      <c r="D2" s="4" t="n"/>
      <c r="E2" s="4" t="n"/>
      <c r="F2" s="4" t="n"/>
      <c r="G2" s="4" t="n"/>
      <c r="H2" s="4" t="n"/>
      <c r="I2" s="4" t="n"/>
    </row>
    <row r="4" ht="18" customHeight="1">
      <c r="B4" s="5" t="inlineStr">
        <is>
          <t>A dashboard is pieces you already know — pivots and charts — arranged tidily and linked by a slicer.</t>
        </is>
      </c>
    </row>
    <row r="6" ht="19" customHeight="1">
      <c r="B6" s="20" t="inlineStr">
        <is>
          <t>KPI</t>
        </is>
      </c>
      <c r="C6" s="21" t="inlineStr">
        <is>
          <t>Key Performance Indicator — one headline number (total members, total revenue).</t>
        </is>
      </c>
    </row>
    <row r="7" ht="19" customHeight="1">
      <c r="B7" s="20" t="inlineStr">
        <is>
          <t>KPI card</t>
        </is>
      </c>
      <c r="C7" s="21" t="inlineStr">
        <is>
          <t>That number shown large on the dashboard so it reads at a glance.</t>
        </is>
      </c>
    </row>
    <row r="8" ht="19" customHeight="1">
      <c r="B8" s="20" t="inlineStr">
        <is>
          <t>Pivot</t>
        </is>
      </c>
      <c r="C8" s="21" t="inlineStr">
        <is>
          <t>Drag-and-drop summary that groups and totals — the engine behind the charts.</t>
        </is>
      </c>
    </row>
    <row r="9" ht="19" customHeight="1">
      <c r="B9" s="20" t="inlineStr">
        <is>
          <t>PivotChart</t>
        </is>
      </c>
      <c r="C9" s="21" t="inlineStr">
        <is>
          <t>A chart linked to a pivot; filter the pivot and it redraws.</t>
        </is>
      </c>
    </row>
    <row r="10" ht="19" customHeight="1">
      <c r="B10" s="20" t="inlineStr">
        <is>
          <t>Slicer</t>
        </is>
      </c>
      <c r="C10" s="21" t="inlineStr">
        <is>
          <t>A clickable filter panel; connect it to several pivots to filter the whole page.</t>
        </is>
      </c>
    </row>
    <row r="11" ht="19" customHeight="1">
      <c r="B11" s="20" t="inlineStr">
        <is>
          <t>Report Connections</t>
        </is>
      </c>
      <c r="C11" s="21" t="inlineStr">
        <is>
          <t>Where you wire one slicer to multiple pivots.</t>
        </is>
      </c>
    </row>
    <row r="12" ht="19" customHeight="1">
      <c r="B12" s="20" t="inlineStr">
        <is>
          <t>Column vs Pie</t>
        </is>
      </c>
      <c r="C12" s="21" t="inlineStr">
        <is>
          <t>Column to compare/rank categories; pie only for parts of one whole.</t>
        </is>
      </c>
    </row>
    <row r="13" ht="19" customHeight="1">
      <c r="B13" s="20" t="inlineStr">
        <is>
          <t>Layout</t>
        </is>
      </c>
      <c r="C13" s="21" t="inlineStr">
        <is>
          <t>KPIs on top, charts below, aligned, gridlines off, clear titles.</t>
        </is>
      </c>
    </row>
  </sheetData>
  <mergeCells count="9">
    <mergeCell ref="C13:I13"/>
    <mergeCell ref="C9:I9"/>
    <mergeCell ref="C8:I8"/>
    <mergeCell ref="C12:I12"/>
    <mergeCell ref="C6:I6"/>
    <mergeCell ref="C7:I7"/>
    <mergeCell ref="C10:I10"/>
    <mergeCell ref="C11:I11"/>
    <mergeCell ref="B4:I4"/>
  </mergeCells>
  <pageMargins left="0.75" right="0.75" top="1" bottom="1" header="0.5" footer="0.5"/>
</worksheet>
</file>

<file path=xl/worksheets/sheet7.xml><?xml version="1.0" encoding="utf-8"?>
<worksheet xmlns="http://schemas.openxmlformats.org/spreadsheetml/2006/main">
  <sheetPr>
    <tabColor rgb="FF3F1D5E"/>
    <outlinePr summaryBelow="1" summaryRight="1"/>
    <pageSetUpPr/>
  </sheetPr>
  <dimension ref="A1:I29"/>
  <sheetViews>
    <sheetView showGridLines="0" workbookViewId="0">
      <selection activeCell="A1" sqref="A1"/>
    </sheetView>
  </sheetViews>
  <sheetFormatPr baseColWidth="8" defaultRowHeight="15"/>
  <cols>
    <col width="2" customWidth="1" min="1" max="1"/>
    <col width="16" customWidth="1" min="2" max="2"/>
    <col width="12" customWidth="1" min="3" max="3"/>
    <col width="12" customWidth="1" min="4" max="4"/>
    <col width="12" customWidth="1" min="5" max="5"/>
    <col width="12" customWidth="1" min="6" max="6"/>
    <col width="12" customWidth="1" min="7" max="7"/>
    <col width="12" customWidth="1" min="8" max="8"/>
    <col width="4" customWidth="1" min="9" max="9"/>
  </cols>
  <sheetData>
    <row r="1" ht="34" customHeight="1">
      <c r="A1" s="1" t="inlineStr">
        <is>
          <t>Stretch — go further</t>
        </is>
      </c>
      <c r="B1" s="2" t="n"/>
      <c r="C1" s="2" t="n"/>
      <c r="D1" s="2" t="n"/>
      <c r="E1" s="2" t="n"/>
      <c r="F1" s="2" t="n"/>
      <c r="G1" s="2" t="n"/>
      <c r="H1" s="2" t="n"/>
      <c r="I1" s="2" t="n"/>
    </row>
    <row r="2" ht="20" customHeight="1">
      <c r="A2" s="3" t="inlineStr">
        <is>
          <t>Design judgement. Jot a plan in each amber cell.</t>
        </is>
      </c>
      <c r="B2" s="4" t="n"/>
      <c r="C2" s="4" t="n"/>
      <c r="D2" s="4" t="n"/>
      <c r="E2" s="4" t="n"/>
      <c r="F2" s="4" t="n"/>
      <c r="G2" s="4" t="n"/>
      <c r="H2" s="4" t="n"/>
      <c r="I2" s="4" t="n"/>
    </row>
    <row r="4" ht="18" customHeight="1">
      <c r="B4" s="5" t="inlineStr">
        <is>
          <t>If you can answer these aloud, you can design a dashboard, not just build one.</t>
        </is>
      </c>
    </row>
    <row r="6" ht="18" customHeight="1">
      <c r="B6" s="6" t="inlineStr">
        <is>
          <t>Stretch 1</t>
        </is>
      </c>
      <c r="C6" s="7" t="n"/>
      <c r="D6" s="7" t="n"/>
      <c r="E6" s="7" t="n"/>
      <c r="F6" s="7" t="n"/>
      <c r="G6" s="7" t="n"/>
      <c r="H6" s="7" t="n"/>
      <c r="I6" s="7" t="n"/>
    </row>
    <row r="7" ht="19" customHeight="1">
      <c r="B7" s="22" t="inlineStr">
        <is>
          <t>You have room for only THREE KPI cards. Which do you choose for a club manager, and why?</t>
        </is>
      </c>
    </row>
    <row r="8" ht="18" customHeight="1">
      <c r="B8" s="18" t="n"/>
      <c r="C8" s="23" t="n"/>
      <c r="D8" s="23" t="n"/>
      <c r="E8" s="23" t="n"/>
      <c r="F8" s="23" t="n"/>
      <c r="G8" s="23" t="n"/>
      <c r="H8" s="23" t="n"/>
      <c r="I8" s="23" t="n"/>
    </row>
    <row r="9" ht="18" customHeight="1">
      <c r="B9" s="23" t="n"/>
      <c r="C9" s="23" t="n"/>
      <c r="D9" s="23" t="n"/>
      <c r="E9" s="23" t="n"/>
      <c r="F9" s="23" t="n"/>
      <c r="G9" s="23" t="n"/>
      <c r="H9" s="23" t="n"/>
      <c r="I9" s="23" t="n"/>
    </row>
    <row r="10" ht="18" customHeight="1">
      <c r="B10" s="23" t="n"/>
      <c r="C10" s="23" t="n"/>
      <c r="D10" s="23" t="n"/>
      <c r="E10" s="23" t="n"/>
      <c r="F10" s="23" t="n"/>
      <c r="G10" s="23" t="n"/>
      <c r="H10" s="23" t="n"/>
      <c r="I10" s="23" t="n"/>
    </row>
    <row r="12" ht="18" customHeight="1">
      <c r="B12" s="6" t="inlineStr">
        <is>
          <t>Stretch 2</t>
        </is>
      </c>
      <c r="C12" s="7" t="n"/>
      <c r="D12" s="7" t="n"/>
      <c r="E12" s="7" t="n"/>
      <c r="F12" s="7" t="n"/>
      <c r="G12" s="7" t="n"/>
      <c r="H12" s="7" t="n"/>
      <c r="I12" s="7" t="n"/>
    </row>
    <row r="13" ht="34" customHeight="1">
      <c r="B13" s="22" t="inlineStr">
        <is>
          <t>A colleague used a pie chart with 8 activity slices. Why might that be a poor choice, and what would you use?</t>
        </is>
      </c>
    </row>
    <row r="15" ht="18" customHeight="1">
      <c r="B15" s="18" t="n"/>
      <c r="C15" s="23" t="n"/>
      <c r="D15" s="23" t="n"/>
      <c r="E15" s="23" t="n"/>
      <c r="F15" s="23" t="n"/>
      <c r="G15" s="23" t="n"/>
      <c r="H15" s="23" t="n"/>
      <c r="I15" s="23" t="n"/>
    </row>
    <row r="16" ht="18" customHeight="1">
      <c r="B16" s="23" t="n"/>
      <c r="C16" s="23" t="n"/>
      <c r="D16" s="23" t="n"/>
      <c r="E16" s="23" t="n"/>
      <c r="F16" s="23" t="n"/>
      <c r="G16" s="23" t="n"/>
      <c r="H16" s="23" t="n"/>
      <c r="I16" s="23" t="n"/>
    </row>
    <row r="17" ht="18" customHeight="1">
      <c r="B17" s="23" t="n"/>
      <c r="C17" s="23" t="n"/>
      <c r="D17" s="23" t="n"/>
      <c r="E17" s="23" t="n"/>
      <c r="F17" s="23" t="n"/>
      <c r="G17" s="23" t="n"/>
      <c r="H17" s="23" t="n"/>
      <c r="I17" s="23" t="n"/>
    </row>
    <row r="19" ht="18" customHeight="1">
      <c r="B19" s="6" t="inlineStr">
        <is>
          <t>Stretch 3</t>
        </is>
      </c>
      <c r="C19" s="7" t="n"/>
      <c r="D19" s="7" t="n"/>
      <c r="E19" s="7" t="n"/>
      <c r="F19" s="7" t="n"/>
      <c r="G19" s="7" t="n"/>
      <c r="H19" s="7" t="n"/>
      <c r="I19" s="7" t="n"/>
    </row>
    <row r="20" ht="19" customHeight="1">
      <c r="B20" s="22" t="inlineStr">
        <is>
          <t>How would connecting one Type slicer to every pivot change how a manager explores the page?</t>
        </is>
      </c>
    </row>
    <row r="21" ht="18" customHeight="1">
      <c r="B21" s="18" t="n"/>
      <c r="C21" s="23" t="n"/>
      <c r="D21" s="23" t="n"/>
      <c r="E21" s="23" t="n"/>
      <c r="F21" s="23" t="n"/>
      <c r="G21" s="23" t="n"/>
      <c r="H21" s="23" t="n"/>
      <c r="I21" s="23" t="n"/>
    </row>
    <row r="22" ht="18" customHeight="1">
      <c r="B22" s="23" t="n"/>
      <c r="C22" s="23" t="n"/>
      <c r="D22" s="23" t="n"/>
      <c r="E22" s="23" t="n"/>
      <c r="F22" s="23" t="n"/>
      <c r="G22" s="23" t="n"/>
      <c r="H22" s="23" t="n"/>
      <c r="I22" s="23" t="n"/>
    </row>
    <row r="23" ht="18" customHeight="1">
      <c r="B23" s="23" t="n"/>
      <c r="C23" s="23" t="n"/>
      <c r="D23" s="23" t="n"/>
      <c r="E23" s="23" t="n"/>
      <c r="F23" s="23" t="n"/>
      <c r="G23" s="23" t="n"/>
      <c r="H23" s="23" t="n"/>
      <c r="I23" s="23" t="n"/>
    </row>
    <row r="25" ht="18" customHeight="1">
      <c r="B25" s="6" t="inlineStr">
        <is>
          <t>Stretch 4</t>
        </is>
      </c>
      <c r="C25" s="7" t="n"/>
      <c r="D25" s="7" t="n"/>
      <c r="E25" s="7" t="n"/>
      <c r="F25" s="7" t="n"/>
      <c r="G25" s="7" t="n"/>
      <c r="H25" s="7" t="n"/>
      <c r="I25" s="7" t="n"/>
    </row>
    <row r="26" ht="19" customHeight="1">
      <c r="B26" s="22" t="inlineStr">
        <is>
          <t>The dashboard looks cluttered. Name three quick changes that make it clearer.</t>
        </is>
      </c>
    </row>
    <row r="27" ht="18" customHeight="1">
      <c r="B27" s="18" t="n"/>
      <c r="C27" s="23" t="n"/>
      <c r="D27" s="23" t="n"/>
      <c r="E27" s="23" t="n"/>
      <c r="F27" s="23" t="n"/>
      <c r="G27" s="23" t="n"/>
      <c r="H27" s="23" t="n"/>
      <c r="I27" s="23" t="n"/>
    </row>
    <row r="28" ht="18" customHeight="1">
      <c r="B28" s="23" t="n"/>
      <c r="C28" s="23" t="n"/>
      <c r="D28" s="23" t="n"/>
      <c r="E28" s="23" t="n"/>
      <c r="F28" s="23" t="n"/>
      <c r="G28" s="23" t="n"/>
      <c r="H28" s="23" t="n"/>
      <c r="I28" s="23" t="n"/>
    </row>
    <row r="29" ht="18" customHeight="1">
      <c r="B29" s="23" t="n"/>
      <c r="C29" s="23" t="n"/>
      <c r="D29" s="23" t="n"/>
      <c r="E29" s="23" t="n"/>
      <c r="F29" s="23" t="n"/>
      <c r="G29" s="23" t="n"/>
      <c r="H29" s="23" t="n"/>
      <c r="I29" s="23" t="n"/>
    </row>
  </sheetData>
  <mergeCells count="13">
    <mergeCell ref="B12:I12"/>
    <mergeCell ref="B13:I13"/>
    <mergeCell ref="B7:I7"/>
    <mergeCell ref="B21:I23"/>
    <mergeCell ref="B6:I6"/>
    <mergeCell ref="B25:I25"/>
    <mergeCell ref="B15:I17"/>
    <mergeCell ref="B20:I20"/>
    <mergeCell ref="B8:I10"/>
    <mergeCell ref="B19:I19"/>
    <mergeCell ref="B27:I29"/>
    <mergeCell ref="B4:I4"/>
    <mergeCell ref="B26:I26"/>
  </mergeCells>
  <pageMargins left="0.75" right="0.75" top="1" bottom="1" header="0.5" footer="0.5"/>
</worksheet>
</file>

<file path=xl/worksheets/sheet8.xml><?xml version="1.0" encoding="utf-8"?>
<worksheet xmlns="http://schemas.openxmlformats.org/spreadsheetml/2006/main">
  <sheetPr>
    <tabColor rgb="FFBF8F00"/>
    <outlinePr summaryBelow="1" summaryRight="1"/>
    <pageSetUpPr/>
  </sheetPr>
  <dimension ref="A1:I13"/>
  <sheetViews>
    <sheetView showGridLines="0" workbookViewId="0">
      <selection activeCell="A1" sqref="A1"/>
    </sheetView>
  </sheetViews>
  <sheetFormatPr baseColWidth="8" defaultRowHeight="15"/>
  <cols>
    <col width="3" customWidth="1" min="1" max="1"/>
    <col width="6" customWidth="1" min="2" max="2"/>
    <col width="22" customWidth="1" min="3" max="3"/>
    <col width="12" customWidth="1" min="4" max="4"/>
    <col width="12" customWidth="1" min="5" max="5"/>
    <col width="12" customWidth="1" min="6" max="6"/>
    <col width="5" customWidth="1" min="7" max="7"/>
    <col width="12" customWidth="1" min="8" max="8"/>
    <col width="4" customWidth="1" min="9" max="9"/>
  </cols>
  <sheetData>
    <row r="1" ht="34" customHeight="1">
      <c r="A1" s="1" t="inlineStr">
        <is>
          <t>Confidence check</t>
        </is>
      </c>
      <c r="B1" s="2" t="n"/>
      <c r="C1" s="2" t="n"/>
      <c r="D1" s="2" t="n"/>
      <c r="E1" s="2" t="n"/>
      <c r="F1" s="2" t="n"/>
      <c r="G1" s="2" t="n"/>
      <c r="H1" s="2" t="n"/>
      <c r="I1" s="2" t="n"/>
    </row>
    <row r="2" ht="20" customHeight="1">
      <c r="A2" s="3" t="inlineStr">
        <is>
          <t>Tick each box you can honestly do</t>
        </is>
      </c>
      <c r="B2" s="4" t="n"/>
      <c r="C2" s="4" t="n"/>
      <c r="D2" s="4" t="n"/>
      <c r="E2" s="4" t="n"/>
      <c r="F2" s="4" t="n"/>
      <c r="G2" s="4" t="n"/>
      <c r="H2" s="4" t="n"/>
      <c r="I2" s="4" t="n"/>
    </row>
    <row r="4" ht="19" customHeight="1">
      <c r="B4" s="5" t="inlineStr">
        <is>
          <t>Type x in each amber box you can tick. When all are ticked, you can build a clear, interactive dashboard.</t>
        </is>
      </c>
    </row>
    <row r="6">
      <c r="B6" s="8" t="inlineStr">
        <is>
          <t>Tick</t>
        </is>
      </c>
      <c r="C6" s="8" t="inlineStr">
        <is>
          <t>I can…</t>
        </is>
      </c>
      <c r="G6" s="24" t="inlineStr">
        <is>
          <t>✓</t>
        </is>
      </c>
    </row>
    <row r="7" ht="20" customHeight="1">
      <c r="B7" s="25" t="n"/>
      <c r="C7" s="16" t="inlineStr">
        <is>
          <t>calculate KPI numbers (count, sum, average)</t>
        </is>
      </c>
      <c r="G7" s="26">
        <f>IF(LOWER(B7)="x","✓","")</f>
        <v/>
      </c>
    </row>
    <row r="8" ht="20" customHeight="1">
      <c r="B8" s="25" t="n"/>
      <c r="C8" s="16" t="inlineStr">
        <is>
          <t>build pivots and read the right value off them</t>
        </is>
      </c>
      <c r="G8" s="26">
        <f>IF(LOWER(B8)="x","✓","")</f>
        <v/>
      </c>
    </row>
    <row r="9" ht="20" customHeight="1">
      <c r="B9" s="25" t="n"/>
      <c r="C9" s="16" t="inlineStr">
        <is>
          <t>choose the right chart for the question</t>
        </is>
      </c>
      <c r="G9" s="26">
        <f>IF(LOWER(B9)="x","✓","")</f>
        <v/>
      </c>
    </row>
    <row r="10" ht="20" customHeight="1">
      <c r="B10" s="25" t="n"/>
      <c r="C10" s="16" t="inlineStr">
        <is>
          <t>connect a slicer to filter the whole page</t>
        </is>
      </c>
      <c r="G10" s="26">
        <f>IF(LOWER(B10)="x","✓","")</f>
        <v/>
      </c>
    </row>
    <row r="11" ht="20" customHeight="1">
      <c r="B11" s="25" t="n"/>
      <c r="C11" s="16" t="inlineStr">
        <is>
          <t>lay out a clean dashboard and say why each piece is there</t>
        </is>
      </c>
      <c r="G11" s="26">
        <f>IF(LOWER(B11)="x","✓","")</f>
        <v/>
      </c>
    </row>
    <row r="13" ht="24" customHeight="1">
      <c r="C13" s="27">
        <f>IF(COUNTIF(B7:B11,"x")=5,"All ticked — you can build a dashboard. Take it onto real data.","Keep going — "&amp;(5-COUNTIF(B7:B11,"x"))&amp;" to go.")</f>
        <v/>
      </c>
    </row>
  </sheetData>
  <mergeCells count="8">
    <mergeCell ref="C9:F9"/>
    <mergeCell ref="C8:F8"/>
    <mergeCell ref="C13:H13"/>
    <mergeCell ref="C6:F6"/>
    <mergeCell ref="C7:F7"/>
    <mergeCell ref="C11:F11"/>
    <mergeCell ref="C10:F10"/>
    <mergeCell ref="B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2026-06-23T23:12:23Z</dcterms:created>
  <dcterms:modified xmlns:dcterms="http://purl.org/dc/terms/" xmlns:xsi="http://www.w3.org/2001/XMLSchema-instance" xsi:type="dcterms:W3CDTF">2026-06-23T23:12:23Z</dcterms:modified>
</cp:coreProperties>
</file>