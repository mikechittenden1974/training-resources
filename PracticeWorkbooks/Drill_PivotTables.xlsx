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G:\training-resources\Workpacks\"/>
    </mc:Choice>
  </mc:AlternateContent>
  <xr:revisionPtr revIDLastSave="0" documentId="8_{62ACA93B-860A-4A9D-8EAD-DE02F89E39B7}" xr6:coauthVersionLast="47" xr6:coauthVersionMax="47" xr10:uidLastSave="{00000000-0000-0000-0000-000000000000}"/>
  <bookViews>
    <workbookView xWindow="-120" yWindow="-120" windowWidth="29040" windowHeight="17520" firstSheet="3" activeTab="8" xr2:uid="{00000000-000D-0000-FFFF-FFFF00000000}"/>
  </bookViews>
  <sheets>
    <sheet name="Start Here" sheetId="1" r:id="rId1"/>
    <sheet name="How to Build a Pivot" sheetId="2" r:id="rId2"/>
    <sheet name="Data" sheetId="3" r:id="rId3"/>
    <sheet name="Task 1 - Sum by Group" sheetId="4" r:id="rId4"/>
    <sheet name="Task 2 - Count &amp; Average" sheetId="5" r:id="rId5"/>
    <sheet name="Task 3 - Rows &amp; Columns" sheetId="6" r:id="rId6"/>
    <sheet name="Task 4 - Filter &amp; Sort" sheetId="7" r:id="rId7"/>
    <sheet name="Task 5 - PivotChart" sheetId="8" r:id="rId8"/>
    <sheet name="Support" sheetId="9" r:id="rId9"/>
    <sheet name="Confidence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10" l="1"/>
  <c r="G12" i="10"/>
  <c r="G11" i="10"/>
  <c r="G10" i="10"/>
  <c r="G9" i="10"/>
  <c r="G8" i="10"/>
  <c r="G7" i="10"/>
  <c r="G12" i="8"/>
  <c r="G11" i="8"/>
  <c r="G10" i="8"/>
  <c r="G9" i="8"/>
  <c r="G11" i="7"/>
  <c r="G10" i="7"/>
  <c r="G9" i="7"/>
  <c r="G8" i="7"/>
  <c r="G12" i="6"/>
  <c r="G11" i="6"/>
  <c r="G10" i="6"/>
  <c r="G9" i="6"/>
  <c r="G12" i="5"/>
  <c r="G11" i="5"/>
  <c r="G10" i="5"/>
  <c r="G9" i="5"/>
  <c r="G8" i="5"/>
  <c r="G12" i="4"/>
  <c r="G11" i="4"/>
  <c r="G10" i="4"/>
  <c r="G9" i="4"/>
  <c r="G8" i="4"/>
</calcChain>
</file>

<file path=xl/sharedStrings.xml><?xml version="1.0" encoding="utf-8"?>
<sst xmlns="http://schemas.openxmlformats.org/spreadsheetml/2006/main" count="263" uniqueCount="181">
  <si>
    <t>PivotTables &amp; PivotCharts</t>
  </si>
  <si>
    <t>Summarise hundreds of rows in seconds — then chart it</t>
  </si>
  <si>
    <t>A PivotTable turns a long list into a summary: drag a field to group by, drag a number to total or average, and Excel does the rest — no formulas. A PivotChart is the same summary as a picture. This drill uses a table of 20 well-known films so you can SEE the patterns you're summarising.</t>
  </si>
  <si>
    <t>Note: the film titles are real, but the box-office and budget figures are illustrative — invented for clean practice, not actual box office.</t>
  </si>
  <si>
    <t>HOW A PIVOT WORKS — FOUR DROP ZONES</t>
  </si>
  <si>
    <t>Rows</t>
  </si>
  <si>
    <t>The field to group DOWN the side — e.g. Genre. One row per genre.</t>
  </si>
  <si>
    <t>Columns</t>
  </si>
  <si>
    <t>An optional field to split ACROSS the top — e.g. Decade.</t>
  </si>
  <si>
    <t>Values</t>
  </si>
  <si>
    <t>The number to summarise — e.g. Box Office. Choose Sum, Average, Count…</t>
  </si>
  <si>
    <t>Filters</t>
  </si>
  <si>
    <t>An optional field to filter the whole table — e.g. show one Studio only.</t>
  </si>
  <si>
    <t>How this drill works</t>
  </si>
  <si>
    <t>•  The Data tab has 20 films. Build each pivot on that data as the tasks describe.</t>
  </si>
  <si>
    <t>•  You build the pivot by dragging fields — then READ the answer off it and type it in.</t>
  </si>
  <si>
    <t>•  The amber Check cell marks your number ✓ or ✗, so you know your pivot is right.</t>
  </si>
  <si>
    <t>•  Later tasks turn the pivot into a chart. Support and Confidence finish off.</t>
  </si>
  <si>
    <t>How to Build a Pivot</t>
  </si>
  <si>
    <t>The steps — read this before the tasks</t>
  </si>
  <si>
    <t>THE FIVE STEPS</t>
  </si>
  <si>
    <t>1</t>
  </si>
  <si>
    <t>Click any cell inside the Data table (rows 4–24 on the Data tab).</t>
  </si>
  <si>
    <t>2</t>
  </si>
  <si>
    <t>Insert ▸ PivotTable ▸ OK. A blank pivot and a Field List appear on a new sheet.</t>
  </si>
  <si>
    <t>3</t>
  </si>
  <si>
    <t>From the Field List, DRAG a field into the Rows box (e.g. Genre) to group by it.</t>
  </si>
  <si>
    <t>4</t>
  </si>
  <si>
    <t>DRAG a number field into the Values box (e.g. BoxOffice_m). It defaults to Sum.</t>
  </si>
  <si>
    <t>5</t>
  </si>
  <si>
    <t>To change Sum to Average or Count: click the value ▸ Value Field Settings ▸ pick.</t>
  </si>
  <si>
    <t>WORKED EXAMPLE — BOX OFFICE BY GENRE</t>
  </si>
  <si>
    <t>Rows = Genre, Values = Sum of BoxOffice_m. You get one row per genre with its total:</t>
  </si>
  <si>
    <t>Genre</t>
  </si>
  <si>
    <t>Sum of BoxOffice_m</t>
  </si>
  <si>
    <t>Sci-Fi</t>
  </si>
  <si>
    <t>4,890</t>
  </si>
  <si>
    <t>Action</t>
  </si>
  <si>
    <t>4,690</t>
  </si>
  <si>
    <t>Drama</t>
  </si>
  <si>
    <t>3,620</t>
  </si>
  <si>
    <t>Animation</t>
  </si>
  <si>
    <t>3,350</t>
  </si>
  <si>
    <t>Adventure</t>
  </si>
  <si>
    <t>1,880</t>
  </si>
  <si>
    <t>Grand Total</t>
  </si>
  <si>
    <t>18,430</t>
  </si>
  <si>
    <t>⚠  COMMON MISTAKE</t>
  </si>
  <si>
    <t>If your pivot shows COUNT when you wanted a total, it's because the number column had a blank or text in it, so Excel guessed Count. Use Value Field Settings to force Sum. And if you add data later, right-click ▸ Refresh — pivots don't update on their own.</t>
  </si>
  <si>
    <t>Data — Films</t>
  </si>
  <si>
    <t>20 films · build every pivot on this table (illustrative figures)</t>
  </si>
  <si>
    <t>Title</t>
  </si>
  <si>
    <t>Studio</t>
  </si>
  <si>
    <t>Decade</t>
  </si>
  <si>
    <t>Rating</t>
  </si>
  <si>
    <t>BoxOffice_m</t>
  </si>
  <si>
    <t>Budget_m</t>
  </si>
  <si>
    <t>Inception</t>
  </si>
  <si>
    <t>Warner Bros</t>
  </si>
  <si>
    <t>2010s</t>
  </si>
  <si>
    <t>The Dark Knight</t>
  </si>
  <si>
    <t>2000s</t>
  </si>
  <si>
    <t>Interstellar</t>
  </si>
  <si>
    <t>Paramount</t>
  </si>
  <si>
    <t>Jurassic Park</t>
  </si>
  <si>
    <t>Universal</t>
  </si>
  <si>
    <t>1990s</t>
  </si>
  <si>
    <t>Titanic</t>
  </si>
  <si>
    <t>Avatar</t>
  </si>
  <si>
    <t>20th Century</t>
  </si>
  <si>
    <t>The Avengers</t>
  </si>
  <si>
    <t>Marvel</t>
  </si>
  <si>
    <t>Frozen</t>
  </si>
  <si>
    <t>Disney</t>
  </si>
  <si>
    <t>Toy Story</t>
  </si>
  <si>
    <t>The Lion King</t>
  </si>
  <si>
    <t>Gladiator</t>
  </si>
  <si>
    <t>The Matrix</t>
  </si>
  <si>
    <t>Forrest Gump</t>
  </si>
  <si>
    <t>Black Panther</t>
  </si>
  <si>
    <t>Up</t>
  </si>
  <si>
    <t>The Departed</t>
  </si>
  <si>
    <t>Mad Max Fury Road</t>
  </si>
  <si>
    <t>La La Land</t>
  </si>
  <si>
    <t>Lionsgate</t>
  </si>
  <si>
    <t>Jaws</t>
  </si>
  <si>
    <t>1970s</t>
  </si>
  <si>
    <t>Back to the Future</t>
  </si>
  <si>
    <t>1980s</t>
  </si>
  <si>
    <t>Task 1 — Total by group</t>
  </si>
  <si>
    <t>Rows + Sum of Values</t>
  </si>
  <si>
    <t>BUILD THIS PIVOT</t>
  </si>
  <si>
    <t>Build a pivot with Rows = Genre and Values = Sum of BoxOffice_m. You'll get one row per genre with its total box office, and a Grand Total at the bottom.</t>
  </si>
  <si>
    <t>Then read the answers off your pivot and type them in:</t>
  </si>
  <si>
    <t>Read from your pivot</t>
  </si>
  <si>
    <t>Hint</t>
  </si>
  <si>
    <t>Your answer</t>
  </si>
  <si>
    <t>Check</t>
  </si>
  <si>
    <t>Total box office for ACTION films (£m)</t>
  </si>
  <si>
    <t>a number</t>
  </si>
  <si>
    <t>Total box office for SCI-FI films (£m)</t>
  </si>
  <si>
    <t>Total box office for ANIMATION films (£m)</t>
  </si>
  <si>
    <t>The Grand Total of all box office (£m)</t>
  </si>
  <si>
    <t>bottom row</t>
  </si>
  <si>
    <t>Which genre has the highest total? (one word)</t>
  </si>
  <si>
    <t>top of the list</t>
  </si>
  <si>
    <t>Task 2 — Count and Average</t>
  </si>
  <si>
    <t>Changing how Values summarise</t>
  </si>
  <si>
    <t>Build Rows = Studio, Values = BoxOffice_m. First set the value to COUNT (Value Field Settings ▸ Count) to count films per studio. Then change it to AVERAGE to see average box office per studio.</t>
  </si>
  <si>
    <t>How many films did WARNER BROS make? (Count)</t>
  </si>
  <si>
    <t>count</t>
  </si>
  <si>
    <t>How many films did DISNEY make?</t>
  </si>
  <si>
    <t>How many films did MARVEL make?</t>
  </si>
  <si>
    <t>Switch to Average: average box office for MARVEL films (£m)</t>
  </si>
  <si>
    <t>(1520+1340)/2</t>
  </si>
  <si>
    <t>Average box office for PARAMOUNT films (£m)</t>
  </si>
  <si>
    <t>three films</t>
  </si>
  <si>
    <t>Task 3 — Two dimensions</t>
  </si>
  <si>
    <t>Add a Columns field</t>
  </si>
  <si>
    <t>Build Rows = Genre, Columns = Decade, Values = Count of Title. Now each cell shows how many films of that genre came out in that decade — a cross-tab.</t>
  </si>
  <si>
    <t>Tip: drag Title into Values and it defaults to Count (it's text, so it can't sum).</t>
  </si>
  <si>
    <t>How many SCI-FI films are from the 2010s?</t>
  </si>
  <si>
    <t>row Sci-Fi, col 2010s</t>
  </si>
  <si>
    <t>How many ANIMATION films are from the 1990s?</t>
  </si>
  <si>
    <t>Toy Story, Lion King</t>
  </si>
  <si>
    <t>How many ACTION films in total (row grand total)?</t>
  </si>
  <si>
    <t>right-hand total</t>
  </si>
  <si>
    <t>How many films in total came out in the 1990s? (column total)</t>
  </si>
  <si>
    <t>bottom of 1990s</t>
  </si>
  <si>
    <t>Task 4 — Filter and sort</t>
  </si>
  <si>
    <t>Focus the pivot</t>
  </si>
  <si>
    <t>Build Rows = Studio, Values = Sum of BoxOffice_m. Add Decade to the FILTERS box. Use the filter to show only 2010s films, then read the studio totals for that decade. Sorting the pivot largest-first helps.</t>
  </si>
  <si>
    <t>With the filter on 2010s: total box office for MARVEL (£m)</t>
  </si>
  <si>
    <t>Avengers + Black Panther</t>
  </si>
  <si>
    <t>With 2010s filter: total box office for DISNEY (£m)</t>
  </si>
  <si>
    <t>Frozen only</t>
  </si>
  <si>
    <t>With 2010s filter: total box office for WARNER BROS (£m)</t>
  </si>
  <si>
    <t>Inception + Mad Max</t>
  </si>
  <si>
    <t>Remove the filter. Which studio has the highest all-time total? (two words)</t>
  </si>
  <si>
    <t>sort largest first</t>
  </si>
  <si>
    <t>Task 5 — Chart the pivot</t>
  </si>
  <si>
    <t>Turn the summary into a picture</t>
  </si>
  <si>
    <t>Build Rows = Genre, Values = Sum of BoxOffice_m. With a cell in the pivot selected, go PivotTable Analyze ▸ PivotChart ▸ Column ▸ OK. You now have a bar chart of box office by genre. The bars are the same numbers you totalled in Task 1 — just visual.</t>
  </si>
  <si>
    <t>A PivotChart is linked to its pivot: filter or slice the pivot and the chart redraws instantly.</t>
  </si>
  <si>
    <t>On your chart, which genre has the TALLEST bar? (one word)</t>
  </si>
  <si>
    <t>biggest total</t>
  </si>
  <si>
    <t>Which genre has the SHORTEST bar? (one word)</t>
  </si>
  <si>
    <t>smallest total</t>
  </si>
  <si>
    <t>The Sci-Fi bar's height in £m (read the axis / data label)</t>
  </si>
  <si>
    <t>same as Task 1</t>
  </si>
  <si>
    <t>If you clicked a Decade slicer for 2010s, would the chart update? (yes/no)</t>
  </si>
  <si>
    <t>pivot charts are live</t>
  </si>
  <si>
    <t>Support — your glossary</t>
  </si>
  <si>
    <t>PivotTable &amp; PivotChart terms at a glance</t>
  </si>
  <si>
    <t>PivotTable</t>
  </si>
  <si>
    <t>A drag-and-drop summary of a table. No formulas — Excel does the maths.</t>
  </si>
  <si>
    <t>Field dragged here groups DOWN the side (one row per value).</t>
  </si>
  <si>
    <t>Field dragged here splits ACROSS the top (makes a cross-tab).</t>
  </si>
  <si>
    <t>The number being summarised. Default Sum; can be Average, Count, Max, Min…</t>
  </si>
  <si>
    <t>Field that filters the WHOLE pivot to chosen values.</t>
  </si>
  <si>
    <t>Value Field Settings</t>
  </si>
  <si>
    <t>Where you switch a value between Sum / Average / Count etc.</t>
  </si>
  <si>
    <t>Refresh</t>
  </si>
  <si>
    <t>Right-click ▸ Refresh. Pivots don't update automatically when data changes.</t>
  </si>
  <si>
    <t>PivotChart</t>
  </si>
  <si>
    <t>A chart linked to a pivot. Filter or slice the pivot and the chart redraws.</t>
  </si>
  <si>
    <t>Slicer</t>
  </si>
  <si>
    <t>A clickable filter button panel. Click 2010s and pivot + chart both filter.</t>
  </si>
  <si>
    <t>The all-in total row/column Excel adds automatically.</t>
  </si>
  <si>
    <t>Confidence check</t>
  </si>
  <si>
    <t>Tick each box you can honestly do</t>
  </si>
  <si>
    <t>Type x in each amber box you can tick. All ticked means you can pivot and chart any table.</t>
  </si>
  <si>
    <t>Tick</t>
  </si>
  <si>
    <t>I can…</t>
  </si>
  <si>
    <t>✓</t>
  </si>
  <si>
    <t>build a PivotTable from a table of data</t>
  </si>
  <si>
    <t>group with Rows and summarise with Values</t>
  </si>
  <si>
    <t>switch a value between Sum, Count and Average</t>
  </si>
  <si>
    <t>add a Columns field to make a cross-tab</t>
  </si>
  <si>
    <t>use a Filter (or slicer) to focus the pivot</t>
  </si>
  <si>
    <t>create a PivotChart and know it updates with the pivot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</si>
</sst>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8"/>
      <color rgb="FFFFFFFF"/>
      <name val="Calibri"/>
    </font>
    <font>
      <sz val="11"/>
      <color rgb="FFFFFFFF"/>
      <name val="Calibri"/>
    </font>
    <font>
      <sz val="11"/>
      <color rgb="FF000000"/>
      <name val="Calibri"/>
    </font>
    <font>
      <i/>
      <sz val="10"/>
      <color rgb="FF000000"/>
      <name val="Calibri"/>
    </font>
    <font>
      <b/>
      <sz val="10"/>
      <color rgb="FF5B2A86"/>
      <name val="Calibri"/>
    </font>
    <font>
      <b/>
      <sz val="11"/>
      <color rgb="FF5B2A86"/>
      <name val="Calibri"/>
    </font>
    <font>
      <sz val="10.5"/>
      <name val="Calibri"/>
    </font>
    <font>
      <b/>
      <sz val="12"/>
      <name val="Calibri"/>
    </font>
    <font>
      <sz val="11"/>
      <name val="Calibri"/>
    </font>
    <font>
      <b/>
      <sz val="11"/>
      <color rgb="FFFFFFFF"/>
      <name val="Calibri"/>
    </font>
    <font>
      <b/>
      <sz val="13"/>
      <color rgb="FF5B2A86"/>
      <name val="Calibri"/>
    </font>
    <font>
      <b/>
      <sz val="10"/>
      <name val="Calibri"/>
    </font>
    <font>
      <b/>
      <sz val="10.5"/>
      <name val="Calibri"/>
    </font>
    <font>
      <b/>
      <sz val="10"/>
      <color rgb="FFB00020"/>
      <name val="Calibri"/>
    </font>
    <font>
      <sz val="10.5"/>
      <color rgb="FF000000"/>
      <name val="Calibri"/>
    </font>
    <font>
      <b/>
      <sz val="11"/>
      <color rgb="FF5B2A86"/>
      <name val="Calibri"/>
    </font>
    <font>
      <i/>
      <sz val="9.5"/>
      <color rgb="FF888888"/>
      <name val="Calibri"/>
    </font>
    <font>
      <b/>
      <sz val="11"/>
      <name val="Calibri"/>
    </font>
    <font>
      <i/>
      <sz val="10"/>
      <color rgb="FF7B4BA8"/>
      <name val="Calibri"/>
    </font>
    <font>
      <b/>
      <sz val="13"/>
      <color rgb="FF548235"/>
      <name val="Calibri"/>
    </font>
    <font>
      <b/>
      <sz val="12"/>
      <color rgb="FF5B2A86"/>
      <name val="Calibri"/>
    </font>
  </fonts>
  <fills count="8">
    <fill>
      <patternFill patternType="none"/>
    </fill>
    <fill>
      <patternFill patternType="gray125"/>
    </fill>
    <fill>
      <patternFill patternType="solid">
        <fgColor rgb="FF5B2A86"/>
      </patternFill>
    </fill>
    <fill>
      <patternFill patternType="solid">
        <fgColor rgb="FF8E5BB5"/>
      </patternFill>
    </fill>
    <fill>
      <patternFill patternType="solid">
        <fgColor rgb="FFEDE4F5"/>
      </patternFill>
    </fill>
    <fill>
      <patternFill patternType="solid">
        <fgColor rgb="FFF1E9F7"/>
      </patternFill>
    </fill>
    <fill>
      <patternFill patternType="solid">
        <fgColor rgb="FFFBE9E7"/>
      </patternFill>
    </fill>
    <fill>
      <patternFill patternType="solid">
        <fgColor rgb="FFFFF3C4"/>
      </patternFill>
    </fill>
  </fills>
  <borders count="2">
    <border>
      <left/>
      <right/>
      <top/>
      <bottom/>
      <diagonal/>
    </border>
    <border>
      <left style="thin">
        <color rgb="FFD9CCE6"/>
      </left>
      <right style="thin">
        <color rgb="FFD9CCE6"/>
      </right>
      <top style="thin">
        <color rgb="FFD9CCE6"/>
      </top>
      <bottom style="thin">
        <color rgb="FFD9CCE6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4" borderId="0" xfId="0" applyFill="1"/>
    <xf numFmtId="0" fontId="5" fillId="5" borderId="0" xfId="0" applyFont="1" applyFill="1"/>
    <xf numFmtId="0" fontId="0" fillId="5" borderId="0" xfId="0" applyFill="1"/>
    <xf numFmtId="0" fontId="6" fillId="0" borderId="0" xfId="0" applyFont="1"/>
    <xf numFmtId="0" fontId="8" fillId="0" borderId="0" xfId="0" applyFont="1"/>
    <xf numFmtId="0" fontId="10" fillId="2" borderId="0" xfId="0" applyFont="1" applyFill="1"/>
    <xf numFmtId="0" fontId="11" fillId="0" borderId="0" xfId="0" applyFont="1"/>
    <xf numFmtId="0" fontId="5" fillId="4" borderId="0" xfId="0" applyFont="1" applyFill="1"/>
    <xf numFmtId="0" fontId="12" fillId="5" borderId="0" xfId="0" applyFont="1" applyFill="1"/>
    <xf numFmtId="0" fontId="7" fillId="0" borderId="1" xfId="0" applyFont="1" applyBorder="1"/>
    <xf numFmtId="0" fontId="13" fillId="0" borderId="1" xfId="0" applyFont="1" applyBorder="1"/>
    <xf numFmtId="0" fontId="14" fillId="6" borderId="0" xfId="0" applyFont="1" applyFill="1"/>
    <xf numFmtId="0" fontId="0" fillId="6" borderId="0" xfId="0" applyFill="1"/>
    <xf numFmtId="0" fontId="10" fillId="2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0" fontId="17" fillId="0" borderId="0" xfId="0" applyFont="1" applyAlignment="1">
      <alignment vertical="top" wrapText="1"/>
    </xf>
    <xf numFmtId="0" fontId="0" fillId="7" borderId="1" xfId="0" applyFill="1" applyBorder="1"/>
    <xf numFmtId="0" fontId="18" fillId="0" borderId="0" xfId="0" applyFont="1"/>
    <xf numFmtId="0" fontId="20" fillId="0" borderId="0" xfId="0" applyFont="1"/>
    <xf numFmtId="0" fontId="9" fillId="0" borderId="0" xfId="0" applyFont="1"/>
    <xf numFmtId="0" fontId="0" fillId="0" borderId="0" xfId="0"/>
    <xf numFmtId="0" fontId="3" fillId="0" borderId="0" xfId="0" applyFont="1" applyAlignment="1">
      <alignment vertical="top" wrapText="1"/>
    </xf>
    <xf numFmtId="0" fontId="7" fillId="0" borderId="0" xfId="0" applyFont="1" applyAlignment="1">
      <alignment vertical="top" wrapText="1"/>
    </xf>
    <xf numFmtId="0" fontId="2" fillId="3" borderId="0" xfId="0" applyFont="1" applyFill="1"/>
    <xf numFmtId="0" fontId="1" fillId="2" borderId="0" xfId="0" applyFont="1" applyFill="1"/>
    <xf numFmtId="0" fontId="4" fillId="4" borderId="0" xfId="0" applyFont="1" applyFill="1" applyAlignment="1">
      <alignment vertical="top" wrapText="1"/>
    </xf>
    <xf numFmtId="0" fontId="9" fillId="0" borderId="0" xfId="0" applyFont="1" applyAlignment="1">
      <alignment vertical="top" wrapText="1"/>
    </xf>
    <xf numFmtId="0" fontId="15" fillId="0" borderId="0" xfId="0" applyFont="1" applyAlignment="1">
      <alignment vertical="top" wrapText="1"/>
    </xf>
    <xf numFmtId="0" fontId="16" fillId="0" borderId="0" xfId="0" applyFont="1" applyAlignment="1">
      <alignment vertical="top" wrapText="1"/>
    </xf>
    <xf numFmtId="0" fontId="19" fillId="0" borderId="0" xfId="0" applyFont="1" applyAlignment="1">
      <alignment vertical="top" wrapText="1"/>
    </xf>
    <xf numFmtId="0" fontId="9" fillId="0" borderId="0" xfId="0" applyFont="1" applyAlignment="1">
      <alignment vertical="center" wrapText="1"/>
    </xf>
    <xf numFmtId="0" fontId="2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5B2A86"/>
    <pageSetUpPr fitToPage="1"/>
  </sheetPr>
  <dimension ref="A1:H18"/>
  <sheetViews>
    <sheetView workbookViewId="0">
      <selection sqref="A1:H1"/>
    </sheetView>
  </sheetViews>
  <sheetFormatPr defaultRowHeight="15" x14ac:dyDescent="0.25"/>
  <cols>
    <col min="1" max="1" width="12" customWidth="1"/>
    <col min="2" max="2" width="3" customWidth="1"/>
    <col min="3" max="5" width="12" customWidth="1"/>
    <col min="6" max="7" width="11" customWidth="1"/>
    <col min="8" max="8" width="9" customWidth="1"/>
  </cols>
  <sheetData>
    <row r="1" spans="1:8" ht="26.1" customHeight="1" x14ac:dyDescent="0.35">
      <c r="A1" s="25" t="s">
        <v>0</v>
      </c>
      <c r="B1" s="21"/>
      <c r="C1" s="21"/>
      <c r="D1" s="21"/>
      <c r="E1" s="21"/>
      <c r="F1" s="21"/>
      <c r="G1" s="21"/>
      <c r="H1" s="21"/>
    </row>
    <row r="2" spans="1:8" x14ac:dyDescent="0.25">
      <c r="A2" s="24" t="s">
        <v>1</v>
      </c>
      <c r="B2" s="21"/>
      <c r="C2" s="21"/>
      <c r="D2" s="21"/>
      <c r="E2" s="21"/>
      <c r="F2" s="21"/>
      <c r="G2" s="21"/>
      <c r="H2" s="21"/>
    </row>
    <row r="4" spans="1:8" ht="66" customHeight="1" x14ac:dyDescent="0.25">
      <c r="A4" s="22" t="s">
        <v>2</v>
      </c>
      <c r="B4" s="21"/>
      <c r="C4" s="21"/>
      <c r="D4" s="21"/>
      <c r="E4" s="21"/>
      <c r="F4" s="21"/>
      <c r="G4" s="21"/>
      <c r="H4" s="21"/>
    </row>
    <row r="6" spans="1:8" ht="33" customHeight="1" x14ac:dyDescent="0.25">
      <c r="A6" s="26" t="s">
        <v>3</v>
      </c>
      <c r="B6" s="21"/>
      <c r="C6" s="21"/>
      <c r="D6" s="21"/>
      <c r="E6" s="21"/>
      <c r="F6" s="21"/>
      <c r="G6" s="21"/>
      <c r="H6" s="21"/>
    </row>
    <row r="8" spans="1:8" ht="15.95" customHeight="1" x14ac:dyDescent="0.25">
      <c r="A8" s="2" t="s">
        <v>4</v>
      </c>
      <c r="B8" s="3"/>
      <c r="C8" s="3"/>
      <c r="D8" s="3"/>
      <c r="E8" s="3"/>
      <c r="F8" s="3"/>
      <c r="G8" s="3"/>
      <c r="H8" s="3"/>
    </row>
    <row r="9" spans="1:8" ht="20.100000000000001" customHeight="1" x14ac:dyDescent="0.25">
      <c r="A9" s="4" t="s">
        <v>5</v>
      </c>
      <c r="C9" s="23" t="s">
        <v>6</v>
      </c>
      <c r="D9" s="21"/>
      <c r="E9" s="21"/>
      <c r="F9" s="21"/>
      <c r="G9" s="21"/>
      <c r="H9" s="21"/>
    </row>
    <row r="10" spans="1:8" ht="20.100000000000001" customHeight="1" x14ac:dyDescent="0.25">
      <c r="A10" s="4" t="s">
        <v>7</v>
      </c>
      <c r="C10" s="23" t="s">
        <v>8</v>
      </c>
      <c r="D10" s="21"/>
      <c r="E10" s="21"/>
      <c r="F10" s="21"/>
      <c r="G10" s="21"/>
      <c r="H10" s="21"/>
    </row>
    <row r="11" spans="1:8" ht="20.100000000000001" customHeight="1" x14ac:dyDescent="0.25">
      <c r="A11" s="4" t="s">
        <v>9</v>
      </c>
      <c r="C11" s="23" t="s">
        <v>10</v>
      </c>
      <c r="D11" s="21"/>
      <c r="E11" s="21"/>
      <c r="F11" s="21"/>
      <c r="G11" s="21"/>
      <c r="H11" s="21"/>
    </row>
    <row r="12" spans="1:8" ht="33.950000000000003" customHeight="1" x14ac:dyDescent="0.25">
      <c r="A12" s="4" t="s">
        <v>11</v>
      </c>
      <c r="C12" s="23" t="s">
        <v>12</v>
      </c>
      <c r="D12" s="21"/>
      <c r="E12" s="21"/>
      <c r="F12" s="21"/>
      <c r="G12" s="21"/>
      <c r="H12" s="21"/>
    </row>
    <row r="14" spans="1:8" ht="15.75" x14ac:dyDescent="0.25">
      <c r="A14" s="5" t="s">
        <v>13</v>
      </c>
    </row>
    <row r="15" spans="1:8" ht="21" customHeight="1" x14ac:dyDescent="0.25">
      <c r="A15" s="20" t="s">
        <v>14</v>
      </c>
      <c r="B15" s="21"/>
      <c r="C15" s="21"/>
      <c r="D15" s="21"/>
      <c r="E15" s="21"/>
      <c r="F15" s="21"/>
      <c r="G15" s="21"/>
      <c r="H15" s="21"/>
    </row>
    <row r="16" spans="1:8" ht="36" customHeight="1" x14ac:dyDescent="0.25">
      <c r="A16" s="20" t="s">
        <v>15</v>
      </c>
      <c r="B16" s="21"/>
      <c r="C16" s="21"/>
      <c r="D16" s="21"/>
      <c r="E16" s="21"/>
      <c r="F16" s="21"/>
      <c r="G16" s="21"/>
      <c r="H16" s="21"/>
    </row>
    <row r="17" spans="1:8" ht="21" customHeight="1" x14ac:dyDescent="0.25">
      <c r="A17" s="20" t="s">
        <v>16</v>
      </c>
      <c r="B17" s="21"/>
      <c r="C17" s="21"/>
      <c r="D17" s="21"/>
      <c r="E17" s="21"/>
      <c r="F17" s="21"/>
      <c r="G17" s="21"/>
      <c r="H17" s="21"/>
    </row>
    <row r="18" spans="1:8" ht="21" customHeight="1" x14ac:dyDescent="0.25">
      <c r="A18" s="20" t="s">
        <v>17</v>
      </c>
      <c r="B18" s="21"/>
      <c r="C18" s="21"/>
      <c r="D18" s="21"/>
      <c r="E18" s="21"/>
      <c r="F18" s="21"/>
      <c r="G18" s="21"/>
      <c r="H18" s="21"/>
    </row>
  </sheetData>
  <mergeCells count="12">
    <mergeCell ref="A2:H2"/>
    <mergeCell ref="C9:H9"/>
    <mergeCell ref="A16:H16"/>
    <mergeCell ref="A1:H1"/>
    <mergeCell ref="C12:H12"/>
    <mergeCell ref="A6:H6"/>
    <mergeCell ref="A18:H18"/>
    <mergeCell ref="A4:H4"/>
    <mergeCell ref="C11:H11"/>
    <mergeCell ref="C10:H10"/>
    <mergeCell ref="A15:H15"/>
    <mergeCell ref="A17:H17"/>
  </mergeCells>
  <pageMargins left="0.75" right="0.75" top="1" bottom="1" header="0.5" footer="0.5"/>
  <pageSetup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8B8B"/>
    <pageSetUpPr fitToPage="1"/>
  </sheetPr>
  <dimension ref="A1:H22"/>
  <sheetViews>
    <sheetView workbookViewId="0">
      <selection sqref="A1:H1"/>
    </sheetView>
  </sheetViews>
  <sheetFormatPr defaultRowHeight="15" x14ac:dyDescent="0.25"/>
  <cols>
    <col min="1" max="1" width="4" customWidth="1"/>
    <col min="2" max="2" width="16" customWidth="1"/>
    <col min="3" max="3" width="2" customWidth="1"/>
    <col min="4" max="4" width="18" customWidth="1"/>
    <col min="5" max="5" width="2" customWidth="1"/>
    <col min="6" max="7" width="12" customWidth="1"/>
    <col min="8" max="8" width="6" customWidth="1"/>
  </cols>
  <sheetData>
    <row r="1" spans="1:8" ht="26.1" customHeight="1" x14ac:dyDescent="0.35">
      <c r="A1" s="25" t="s">
        <v>18</v>
      </c>
      <c r="B1" s="21"/>
      <c r="C1" s="21"/>
      <c r="D1" s="21"/>
      <c r="E1" s="21"/>
      <c r="F1" s="21"/>
      <c r="G1" s="21"/>
      <c r="H1" s="21"/>
    </row>
    <row r="2" spans="1:8" x14ac:dyDescent="0.25">
      <c r="A2" s="24" t="s">
        <v>19</v>
      </c>
      <c r="B2" s="21"/>
      <c r="C2" s="21"/>
      <c r="D2" s="21"/>
      <c r="E2" s="21"/>
      <c r="F2" s="21"/>
      <c r="G2" s="21"/>
      <c r="H2" s="21"/>
    </row>
    <row r="4" spans="1:8" ht="15.95" customHeight="1" x14ac:dyDescent="0.25">
      <c r="A4" s="2" t="s">
        <v>20</v>
      </c>
      <c r="B4" s="3"/>
      <c r="C4" s="3"/>
      <c r="D4" s="3"/>
      <c r="E4" s="3"/>
      <c r="F4" s="3"/>
      <c r="G4" s="3"/>
      <c r="H4" s="3"/>
    </row>
    <row r="5" spans="1:8" ht="27.95" customHeight="1" x14ac:dyDescent="0.3">
      <c r="A5" s="7" t="s">
        <v>21</v>
      </c>
      <c r="B5" s="27" t="s">
        <v>22</v>
      </c>
      <c r="C5" s="21"/>
      <c r="D5" s="21"/>
      <c r="E5" s="21"/>
      <c r="F5" s="21"/>
      <c r="G5" s="21"/>
      <c r="H5" s="21"/>
    </row>
    <row r="6" spans="1:8" ht="36" customHeight="1" x14ac:dyDescent="0.3">
      <c r="A6" s="7" t="s">
        <v>23</v>
      </c>
      <c r="B6" s="27" t="s">
        <v>24</v>
      </c>
      <c r="C6" s="21"/>
      <c r="D6" s="21"/>
      <c r="E6" s="21"/>
      <c r="F6" s="21"/>
      <c r="G6" s="21"/>
      <c r="H6" s="21"/>
    </row>
    <row r="7" spans="1:8" ht="36" customHeight="1" x14ac:dyDescent="0.3">
      <c r="A7" s="7" t="s">
        <v>25</v>
      </c>
      <c r="B7" s="27" t="s">
        <v>26</v>
      </c>
      <c r="C7" s="21"/>
      <c r="D7" s="21"/>
      <c r="E7" s="21"/>
      <c r="F7" s="21"/>
      <c r="G7" s="21"/>
      <c r="H7" s="21"/>
    </row>
    <row r="8" spans="1:8" ht="36" customHeight="1" x14ac:dyDescent="0.3">
      <c r="A8" s="7" t="s">
        <v>27</v>
      </c>
      <c r="B8" s="27" t="s">
        <v>28</v>
      </c>
      <c r="C8" s="21"/>
      <c r="D8" s="21"/>
      <c r="E8" s="21"/>
      <c r="F8" s="21"/>
      <c r="G8" s="21"/>
      <c r="H8" s="21"/>
    </row>
    <row r="9" spans="1:8" ht="36" customHeight="1" x14ac:dyDescent="0.3">
      <c r="A9" s="7" t="s">
        <v>29</v>
      </c>
      <c r="B9" s="27" t="s">
        <v>30</v>
      </c>
      <c r="C9" s="21"/>
      <c r="D9" s="21"/>
      <c r="E9" s="21"/>
      <c r="F9" s="21"/>
      <c r="G9" s="21"/>
      <c r="H9" s="21"/>
    </row>
    <row r="11" spans="1:8" ht="15.95" customHeight="1" x14ac:dyDescent="0.25">
      <c r="A11" s="8" t="s">
        <v>31</v>
      </c>
      <c r="B11" s="1"/>
      <c r="C11" s="1"/>
      <c r="D11" s="1"/>
      <c r="E11" s="1"/>
      <c r="F11" s="1"/>
      <c r="G11" s="1"/>
      <c r="H11" s="1"/>
    </row>
    <row r="12" spans="1:8" ht="36" customHeight="1" x14ac:dyDescent="0.25">
      <c r="A12" s="22" t="s">
        <v>32</v>
      </c>
      <c r="B12" s="21"/>
      <c r="C12" s="21"/>
      <c r="D12" s="21"/>
      <c r="E12" s="21"/>
      <c r="F12" s="21"/>
      <c r="G12" s="21"/>
      <c r="H12" s="21"/>
    </row>
    <row r="13" spans="1:8" x14ac:dyDescent="0.25">
      <c r="B13" s="9" t="s">
        <v>33</v>
      </c>
      <c r="D13" s="9" t="s">
        <v>34</v>
      </c>
    </row>
    <row r="14" spans="1:8" x14ac:dyDescent="0.25">
      <c r="B14" s="10" t="s">
        <v>35</v>
      </c>
      <c r="D14" s="10" t="s">
        <v>36</v>
      </c>
    </row>
    <row r="15" spans="1:8" x14ac:dyDescent="0.25">
      <c r="B15" s="10" t="s">
        <v>37</v>
      </c>
      <c r="D15" s="10" t="s">
        <v>38</v>
      </c>
    </row>
    <row r="16" spans="1:8" x14ac:dyDescent="0.25">
      <c r="B16" s="10" t="s">
        <v>39</v>
      </c>
      <c r="D16" s="10" t="s">
        <v>40</v>
      </c>
    </row>
    <row r="17" spans="1:8" x14ac:dyDescent="0.25">
      <c r="B17" s="10" t="s">
        <v>41</v>
      </c>
      <c r="D17" s="10" t="s">
        <v>42</v>
      </c>
    </row>
    <row r="18" spans="1:8" x14ac:dyDescent="0.25">
      <c r="B18" s="10" t="s">
        <v>43</v>
      </c>
      <c r="D18" s="10" t="s">
        <v>44</v>
      </c>
    </row>
    <row r="19" spans="1:8" x14ac:dyDescent="0.25">
      <c r="B19" s="11" t="s">
        <v>45</v>
      </c>
      <c r="D19" s="11" t="s">
        <v>46</v>
      </c>
    </row>
    <row r="21" spans="1:8" ht="15.95" customHeight="1" x14ac:dyDescent="0.25">
      <c r="A21" s="12" t="s">
        <v>47</v>
      </c>
      <c r="B21" s="13"/>
      <c r="C21" s="13"/>
      <c r="D21" s="13"/>
      <c r="E21" s="13"/>
      <c r="F21" s="13"/>
      <c r="G21" s="13"/>
      <c r="H21" s="13"/>
    </row>
    <row r="22" spans="1:8" ht="62.1" customHeight="1" x14ac:dyDescent="0.25">
      <c r="A22" s="28" t="s">
        <v>48</v>
      </c>
      <c r="B22" s="21"/>
      <c r="C22" s="21"/>
      <c r="D22" s="21"/>
      <c r="E22" s="21"/>
      <c r="F22" s="21"/>
      <c r="G22" s="21"/>
      <c r="H22" s="21"/>
    </row>
  </sheetData>
  <mergeCells count="9">
    <mergeCell ref="A1:H1"/>
    <mergeCell ref="B5:H5"/>
    <mergeCell ref="A22:H22"/>
    <mergeCell ref="A12:H12"/>
    <mergeCell ref="B8:H8"/>
    <mergeCell ref="B9:H9"/>
    <mergeCell ref="A2:H2"/>
    <mergeCell ref="B6:H6"/>
    <mergeCell ref="B7:H7"/>
  </mergeCells>
  <pageMargins left="0.75" right="0.75" top="1" bottom="1" header="0.5" footer="0.5"/>
  <pageSetup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8B7E96"/>
    <pageSetUpPr fitToPage="1"/>
  </sheetPr>
  <dimension ref="A1:H24"/>
  <sheetViews>
    <sheetView workbookViewId="0">
      <pane ySplit="4" topLeftCell="A5" activePane="bottomLeft" state="frozen"/>
      <selection pane="bottomLeft" sqref="A1:H1"/>
    </sheetView>
  </sheetViews>
  <sheetFormatPr defaultRowHeight="15" x14ac:dyDescent="0.25"/>
  <cols>
    <col min="1" max="1" width="18" customWidth="1"/>
    <col min="2" max="2" width="11" customWidth="1"/>
    <col min="3" max="3" width="13" customWidth="1"/>
    <col min="4" max="4" width="9" customWidth="1"/>
    <col min="5" max="5" width="8" customWidth="1"/>
    <col min="6" max="6" width="12" customWidth="1"/>
    <col min="7" max="7" width="10" customWidth="1"/>
    <col min="8" max="8" width="4" customWidth="1"/>
  </cols>
  <sheetData>
    <row r="1" spans="1:8" ht="26.1" customHeight="1" x14ac:dyDescent="0.35">
      <c r="A1" s="25" t="s">
        <v>49</v>
      </c>
      <c r="B1" s="21"/>
      <c r="C1" s="21"/>
      <c r="D1" s="21"/>
      <c r="E1" s="21"/>
      <c r="F1" s="21"/>
      <c r="G1" s="21"/>
      <c r="H1" s="21"/>
    </row>
    <row r="2" spans="1:8" x14ac:dyDescent="0.25">
      <c r="A2" s="24" t="s">
        <v>50</v>
      </c>
      <c r="B2" s="21"/>
      <c r="C2" s="21"/>
      <c r="D2" s="21"/>
      <c r="E2" s="21"/>
      <c r="F2" s="21"/>
      <c r="G2" s="21"/>
      <c r="H2" s="21"/>
    </row>
    <row r="4" spans="1:8" x14ac:dyDescent="0.25">
      <c r="A4" s="6" t="s">
        <v>51</v>
      </c>
      <c r="B4" s="6" t="s">
        <v>33</v>
      </c>
      <c r="C4" s="6" t="s">
        <v>52</v>
      </c>
      <c r="D4" s="6" t="s">
        <v>53</v>
      </c>
      <c r="E4" s="6" t="s">
        <v>54</v>
      </c>
      <c r="F4" s="6" t="s">
        <v>55</v>
      </c>
      <c r="G4" s="6" t="s">
        <v>56</v>
      </c>
    </row>
    <row r="5" spans="1:8" x14ac:dyDescent="0.25">
      <c r="A5" t="s">
        <v>57</v>
      </c>
      <c r="B5" t="s">
        <v>35</v>
      </c>
      <c r="C5" t="s">
        <v>58</v>
      </c>
      <c r="D5" t="s">
        <v>59</v>
      </c>
      <c r="E5">
        <v>9</v>
      </c>
      <c r="F5">
        <v>830</v>
      </c>
      <c r="G5">
        <v>160</v>
      </c>
    </row>
    <row r="6" spans="1:8" x14ac:dyDescent="0.25">
      <c r="A6" t="s">
        <v>60</v>
      </c>
      <c r="B6" t="s">
        <v>37</v>
      </c>
      <c r="C6" t="s">
        <v>58</v>
      </c>
      <c r="D6" t="s">
        <v>61</v>
      </c>
      <c r="E6">
        <v>9</v>
      </c>
      <c r="F6">
        <v>1000</v>
      </c>
      <c r="G6">
        <v>185</v>
      </c>
    </row>
    <row r="7" spans="1:8" x14ac:dyDescent="0.25">
      <c r="A7" t="s">
        <v>62</v>
      </c>
      <c r="B7" t="s">
        <v>35</v>
      </c>
      <c r="C7" t="s">
        <v>63</v>
      </c>
      <c r="D7" t="s">
        <v>59</v>
      </c>
      <c r="E7">
        <v>8</v>
      </c>
      <c r="F7">
        <v>700</v>
      </c>
      <c r="G7">
        <v>165</v>
      </c>
    </row>
    <row r="8" spans="1:8" x14ac:dyDescent="0.25">
      <c r="A8" t="s">
        <v>64</v>
      </c>
      <c r="B8" t="s">
        <v>43</v>
      </c>
      <c r="C8" t="s">
        <v>65</v>
      </c>
      <c r="D8" t="s">
        <v>66</v>
      </c>
      <c r="E8">
        <v>8</v>
      </c>
      <c r="F8">
        <v>1030</v>
      </c>
      <c r="G8">
        <v>63</v>
      </c>
    </row>
    <row r="9" spans="1:8" x14ac:dyDescent="0.25">
      <c r="A9" t="s">
        <v>67</v>
      </c>
      <c r="B9" t="s">
        <v>39</v>
      </c>
      <c r="C9" t="s">
        <v>63</v>
      </c>
      <c r="D9" t="s">
        <v>66</v>
      </c>
      <c r="E9">
        <v>8</v>
      </c>
      <c r="F9">
        <v>2200</v>
      </c>
      <c r="G9">
        <v>200</v>
      </c>
    </row>
    <row r="10" spans="1:8" x14ac:dyDescent="0.25">
      <c r="A10" t="s">
        <v>68</v>
      </c>
      <c r="B10" t="s">
        <v>35</v>
      </c>
      <c r="C10" t="s">
        <v>69</v>
      </c>
      <c r="D10" t="s">
        <v>61</v>
      </c>
      <c r="E10">
        <v>7</v>
      </c>
      <c r="F10">
        <v>2900</v>
      </c>
      <c r="G10">
        <v>237</v>
      </c>
    </row>
    <row r="11" spans="1:8" x14ac:dyDescent="0.25">
      <c r="A11" t="s">
        <v>70</v>
      </c>
      <c r="B11" t="s">
        <v>37</v>
      </c>
      <c r="C11" t="s">
        <v>71</v>
      </c>
      <c r="D11" t="s">
        <v>59</v>
      </c>
      <c r="E11">
        <v>8</v>
      </c>
      <c r="F11">
        <v>1520</v>
      </c>
      <c r="G11">
        <v>220</v>
      </c>
    </row>
    <row r="12" spans="1:8" x14ac:dyDescent="0.25">
      <c r="A12" t="s">
        <v>72</v>
      </c>
      <c r="B12" t="s">
        <v>41</v>
      </c>
      <c r="C12" t="s">
        <v>73</v>
      </c>
      <c r="D12" t="s">
        <v>59</v>
      </c>
      <c r="E12">
        <v>7</v>
      </c>
      <c r="F12">
        <v>1280</v>
      </c>
      <c r="G12">
        <v>150</v>
      </c>
    </row>
    <row r="13" spans="1:8" x14ac:dyDescent="0.25">
      <c r="A13" t="s">
        <v>74</v>
      </c>
      <c r="B13" t="s">
        <v>41</v>
      </c>
      <c r="C13" t="s">
        <v>73</v>
      </c>
      <c r="D13" t="s">
        <v>66</v>
      </c>
      <c r="E13">
        <v>8</v>
      </c>
      <c r="F13">
        <v>370</v>
      </c>
      <c r="G13">
        <v>30</v>
      </c>
    </row>
    <row r="14" spans="1:8" x14ac:dyDescent="0.25">
      <c r="A14" t="s">
        <v>75</v>
      </c>
      <c r="B14" t="s">
        <v>41</v>
      </c>
      <c r="C14" t="s">
        <v>73</v>
      </c>
      <c r="D14" t="s">
        <v>66</v>
      </c>
      <c r="E14">
        <v>8</v>
      </c>
      <c r="F14">
        <v>970</v>
      </c>
      <c r="G14">
        <v>45</v>
      </c>
    </row>
    <row r="15" spans="1:8" x14ac:dyDescent="0.25">
      <c r="A15" t="s">
        <v>76</v>
      </c>
      <c r="B15" t="s">
        <v>37</v>
      </c>
      <c r="C15" t="s">
        <v>65</v>
      </c>
      <c r="D15" t="s">
        <v>61</v>
      </c>
      <c r="E15">
        <v>8</v>
      </c>
      <c r="F15">
        <v>460</v>
      </c>
      <c r="G15">
        <v>103</v>
      </c>
    </row>
    <row r="16" spans="1:8" x14ac:dyDescent="0.25">
      <c r="A16" t="s">
        <v>77</v>
      </c>
      <c r="B16" t="s">
        <v>35</v>
      </c>
      <c r="C16" t="s">
        <v>58</v>
      </c>
      <c r="D16" t="s">
        <v>66</v>
      </c>
      <c r="E16">
        <v>9</v>
      </c>
      <c r="F16">
        <v>460</v>
      </c>
      <c r="G16">
        <v>63</v>
      </c>
    </row>
    <row r="17" spans="1:7" x14ac:dyDescent="0.25">
      <c r="A17" t="s">
        <v>78</v>
      </c>
      <c r="B17" t="s">
        <v>39</v>
      </c>
      <c r="C17" t="s">
        <v>63</v>
      </c>
      <c r="D17" t="s">
        <v>66</v>
      </c>
      <c r="E17">
        <v>8</v>
      </c>
      <c r="F17">
        <v>680</v>
      </c>
      <c r="G17">
        <v>55</v>
      </c>
    </row>
    <row r="18" spans="1:7" x14ac:dyDescent="0.25">
      <c r="A18" t="s">
        <v>79</v>
      </c>
      <c r="B18" t="s">
        <v>37</v>
      </c>
      <c r="C18" t="s">
        <v>71</v>
      </c>
      <c r="D18" t="s">
        <v>59</v>
      </c>
      <c r="E18">
        <v>7</v>
      </c>
      <c r="F18">
        <v>1340</v>
      </c>
      <c r="G18">
        <v>200</v>
      </c>
    </row>
    <row r="19" spans="1:7" x14ac:dyDescent="0.25">
      <c r="A19" t="s">
        <v>80</v>
      </c>
      <c r="B19" t="s">
        <v>41</v>
      </c>
      <c r="C19" t="s">
        <v>73</v>
      </c>
      <c r="D19" t="s">
        <v>61</v>
      </c>
      <c r="E19">
        <v>8</v>
      </c>
      <c r="F19">
        <v>730</v>
      </c>
      <c r="G19">
        <v>175</v>
      </c>
    </row>
    <row r="20" spans="1:7" x14ac:dyDescent="0.25">
      <c r="A20" t="s">
        <v>81</v>
      </c>
      <c r="B20" t="s">
        <v>39</v>
      </c>
      <c r="C20" t="s">
        <v>58</v>
      </c>
      <c r="D20" t="s">
        <v>61</v>
      </c>
      <c r="E20">
        <v>8</v>
      </c>
      <c r="F20">
        <v>290</v>
      </c>
      <c r="G20">
        <v>90</v>
      </c>
    </row>
    <row r="21" spans="1:7" x14ac:dyDescent="0.25">
      <c r="A21" t="s">
        <v>82</v>
      </c>
      <c r="B21" t="s">
        <v>37</v>
      </c>
      <c r="C21" t="s">
        <v>58</v>
      </c>
      <c r="D21" t="s">
        <v>59</v>
      </c>
      <c r="E21">
        <v>8</v>
      </c>
      <c r="F21">
        <v>370</v>
      </c>
      <c r="G21">
        <v>150</v>
      </c>
    </row>
    <row r="22" spans="1:7" x14ac:dyDescent="0.25">
      <c r="A22" t="s">
        <v>83</v>
      </c>
      <c r="B22" t="s">
        <v>39</v>
      </c>
      <c r="C22" t="s">
        <v>84</v>
      </c>
      <c r="D22" t="s">
        <v>59</v>
      </c>
      <c r="E22">
        <v>7</v>
      </c>
      <c r="F22">
        <v>450</v>
      </c>
      <c r="G22">
        <v>30</v>
      </c>
    </row>
    <row r="23" spans="1:7" x14ac:dyDescent="0.25">
      <c r="A23" t="s">
        <v>85</v>
      </c>
      <c r="B23" t="s">
        <v>43</v>
      </c>
      <c r="C23" t="s">
        <v>65</v>
      </c>
      <c r="D23" t="s">
        <v>86</v>
      </c>
      <c r="E23">
        <v>8</v>
      </c>
      <c r="F23">
        <v>470</v>
      </c>
      <c r="G23">
        <v>9</v>
      </c>
    </row>
    <row r="24" spans="1:7" x14ac:dyDescent="0.25">
      <c r="A24" t="s">
        <v>87</v>
      </c>
      <c r="B24" t="s">
        <v>43</v>
      </c>
      <c r="C24" t="s">
        <v>65</v>
      </c>
      <c r="D24" t="s">
        <v>88</v>
      </c>
      <c r="E24">
        <v>8</v>
      </c>
      <c r="F24">
        <v>380</v>
      </c>
      <c r="G24">
        <v>19</v>
      </c>
    </row>
  </sheetData>
  <mergeCells count="2">
    <mergeCell ref="A2:H2"/>
    <mergeCell ref="A1:H1"/>
  </mergeCells>
  <pageMargins left="0.75" right="0.75" top="1" bottom="1" header="0.5" footer="0.5"/>
  <pageSetup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B4BA8"/>
    <pageSetUpPr fitToPage="1"/>
  </sheetPr>
  <dimension ref="A1:H12"/>
  <sheetViews>
    <sheetView workbookViewId="0">
      <selection sqref="A1:H1"/>
    </sheetView>
  </sheetViews>
  <sheetFormatPr defaultRowHeight="15" x14ac:dyDescent="0.25"/>
  <cols>
    <col min="1" max="1" width="2" customWidth="1"/>
    <col min="2" max="2" width="42" customWidth="1"/>
    <col min="3" max="3" width="2" customWidth="1"/>
    <col min="4" max="4" width="24" customWidth="1"/>
    <col min="5" max="5" width="2" customWidth="1"/>
    <col min="6" max="6" width="15" customWidth="1"/>
    <col min="7" max="7" width="13" customWidth="1"/>
    <col min="8" max="8" width="4" customWidth="1"/>
  </cols>
  <sheetData>
    <row r="1" spans="1:8" ht="26.1" customHeight="1" x14ac:dyDescent="0.35">
      <c r="A1" s="25" t="s">
        <v>89</v>
      </c>
      <c r="B1" s="21"/>
      <c r="C1" s="21"/>
      <c r="D1" s="21"/>
      <c r="E1" s="21"/>
      <c r="F1" s="21"/>
      <c r="G1" s="21"/>
      <c r="H1" s="21"/>
    </row>
    <row r="2" spans="1:8" x14ac:dyDescent="0.25">
      <c r="A2" s="24" t="s">
        <v>90</v>
      </c>
      <c r="B2" s="21"/>
      <c r="C2" s="21"/>
      <c r="D2" s="21"/>
      <c r="E2" s="21"/>
      <c r="F2" s="21"/>
      <c r="G2" s="21"/>
      <c r="H2" s="21"/>
    </row>
    <row r="4" spans="1:8" ht="15.95" customHeight="1" x14ac:dyDescent="0.25">
      <c r="A4" s="2" t="s">
        <v>91</v>
      </c>
      <c r="B4" s="3"/>
      <c r="C4" s="3"/>
      <c r="D4" s="3"/>
      <c r="E4" s="3"/>
      <c r="F4" s="3"/>
      <c r="G4" s="3"/>
      <c r="H4" s="3"/>
    </row>
    <row r="5" spans="1:8" ht="36" customHeight="1" x14ac:dyDescent="0.25">
      <c r="A5" s="22" t="s">
        <v>92</v>
      </c>
      <c r="B5" s="21"/>
      <c r="C5" s="21"/>
      <c r="D5" s="21"/>
      <c r="E5" s="21"/>
      <c r="F5" s="21"/>
      <c r="G5" s="21"/>
      <c r="H5" s="21"/>
    </row>
    <row r="6" spans="1:8" ht="21" customHeight="1" x14ac:dyDescent="0.25">
      <c r="A6" s="29" t="s">
        <v>93</v>
      </c>
      <c r="B6" s="21"/>
      <c r="C6" s="21"/>
      <c r="D6" s="21"/>
      <c r="E6" s="21"/>
      <c r="F6" s="21"/>
      <c r="G6" s="21"/>
      <c r="H6" s="21"/>
    </row>
    <row r="7" spans="1:8" ht="21" customHeight="1" x14ac:dyDescent="0.25">
      <c r="B7" s="14" t="s">
        <v>94</v>
      </c>
      <c r="D7" s="14" t="s">
        <v>95</v>
      </c>
      <c r="F7" s="14" t="s">
        <v>96</v>
      </c>
      <c r="G7" s="14" t="s">
        <v>97</v>
      </c>
    </row>
    <row r="8" spans="1:8" ht="30" customHeight="1" x14ac:dyDescent="0.25">
      <c r="B8" s="15" t="s">
        <v>98</v>
      </c>
      <c r="D8" s="16" t="s">
        <v>99</v>
      </c>
      <c r="F8" s="17"/>
      <c r="G8" s="18" t="str">
        <f>IF(F8="","",IFERROR(IF(ABS(F8-4690)&lt;0.01,"✓  Correct","✗  Try again"),"✗  Try again"))</f>
        <v/>
      </c>
    </row>
    <row r="9" spans="1:8" ht="30" customHeight="1" x14ac:dyDescent="0.25">
      <c r="B9" s="15" t="s">
        <v>100</v>
      </c>
      <c r="D9" s="16" t="s">
        <v>99</v>
      </c>
      <c r="F9" s="17"/>
      <c r="G9" s="18" t="str">
        <f>IF(F9="","",IFERROR(IF(ABS(F9-4890)&lt;0.01,"✓  Correct","✗  Try again"),"✗  Try again"))</f>
        <v/>
      </c>
    </row>
    <row r="10" spans="1:8" ht="30" customHeight="1" x14ac:dyDescent="0.25">
      <c r="B10" s="15" t="s">
        <v>101</v>
      </c>
      <c r="D10" s="16" t="s">
        <v>99</v>
      </c>
      <c r="F10" s="17"/>
      <c r="G10" s="18" t="str">
        <f>IF(F10="","",IFERROR(IF(ABS(F10-3350)&lt;0.01,"✓  Correct","✗  Try again"),"✗  Try again"))</f>
        <v/>
      </c>
    </row>
    <row r="11" spans="1:8" ht="30" customHeight="1" x14ac:dyDescent="0.25">
      <c r="B11" s="15" t="s">
        <v>102</v>
      </c>
      <c r="D11" s="16" t="s">
        <v>103</v>
      </c>
      <c r="F11" s="17"/>
      <c r="G11" s="18" t="str">
        <f>IF(F11="","",IFERROR(IF(ABS(F11-18430)&lt;0.01,"✓  Correct","✗  Try again"),"✗  Try again"))</f>
        <v/>
      </c>
    </row>
    <row r="12" spans="1:8" ht="36" customHeight="1" x14ac:dyDescent="0.25">
      <c r="B12" s="15" t="s">
        <v>104</v>
      </c>
      <c r="D12" s="16" t="s">
        <v>105</v>
      </c>
      <c r="F12" s="17"/>
      <c r="G12" s="18" t="str">
        <f>IF(F12="","",IF(ISNUMBER(SEARCH("Sci-Fi",F12)),"✓  Correct","✗  Try again"))</f>
        <v/>
      </c>
    </row>
  </sheetData>
  <mergeCells count="4">
    <mergeCell ref="A2:H2"/>
    <mergeCell ref="A6:H6"/>
    <mergeCell ref="A5:H5"/>
    <mergeCell ref="A1:H1"/>
  </mergeCells>
  <pageMargins left="0.75" right="0.75" top="1" bottom="1" header="0.5" footer="0.5"/>
  <pageSetup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B4BA8"/>
    <pageSetUpPr fitToPage="1"/>
  </sheetPr>
  <dimension ref="A1:H12"/>
  <sheetViews>
    <sheetView workbookViewId="0">
      <selection sqref="A1:H1"/>
    </sheetView>
  </sheetViews>
  <sheetFormatPr defaultRowHeight="15" x14ac:dyDescent="0.25"/>
  <cols>
    <col min="1" max="1" width="2" customWidth="1"/>
    <col min="2" max="2" width="42" customWidth="1"/>
    <col min="3" max="3" width="2" customWidth="1"/>
    <col min="4" max="4" width="24" customWidth="1"/>
    <col min="5" max="5" width="2" customWidth="1"/>
    <col min="6" max="6" width="15" customWidth="1"/>
    <col min="7" max="7" width="13" customWidth="1"/>
    <col min="8" max="8" width="4" customWidth="1"/>
  </cols>
  <sheetData>
    <row r="1" spans="1:8" ht="26.1" customHeight="1" x14ac:dyDescent="0.35">
      <c r="A1" s="25" t="s">
        <v>106</v>
      </c>
      <c r="B1" s="21"/>
      <c r="C1" s="21"/>
      <c r="D1" s="21"/>
      <c r="E1" s="21"/>
      <c r="F1" s="21"/>
      <c r="G1" s="21"/>
      <c r="H1" s="21"/>
    </row>
    <row r="2" spans="1:8" x14ac:dyDescent="0.25">
      <c r="A2" s="24" t="s">
        <v>107</v>
      </c>
      <c r="B2" s="21"/>
      <c r="C2" s="21"/>
      <c r="D2" s="21"/>
      <c r="E2" s="21"/>
      <c r="F2" s="21"/>
      <c r="G2" s="21"/>
      <c r="H2" s="21"/>
    </row>
    <row r="4" spans="1:8" ht="15.95" customHeight="1" x14ac:dyDescent="0.25">
      <c r="A4" s="2" t="s">
        <v>91</v>
      </c>
      <c r="B4" s="3"/>
      <c r="C4" s="3"/>
      <c r="D4" s="3"/>
      <c r="E4" s="3"/>
      <c r="F4" s="3"/>
      <c r="G4" s="3"/>
      <c r="H4" s="3"/>
    </row>
    <row r="5" spans="1:8" ht="36" customHeight="1" x14ac:dyDescent="0.25">
      <c r="A5" s="22" t="s">
        <v>108</v>
      </c>
      <c r="B5" s="21"/>
      <c r="C5" s="21"/>
      <c r="D5" s="21"/>
      <c r="E5" s="21"/>
      <c r="F5" s="21"/>
      <c r="G5" s="21"/>
      <c r="H5" s="21"/>
    </row>
    <row r="6" spans="1:8" ht="21" customHeight="1" x14ac:dyDescent="0.25">
      <c r="A6" s="29" t="s">
        <v>93</v>
      </c>
      <c r="B6" s="21"/>
      <c r="C6" s="21"/>
      <c r="D6" s="21"/>
      <c r="E6" s="21"/>
      <c r="F6" s="21"/>
      <c r="G6" s="21"/>
      <c r="H6" s="21"/>
    </row>
    <row r="7" spans="1:8" ht="21" customHeight="1" x14ac:dyDescent="0.25">
      <c r="B7" s="14" t="s">
        <v>94</v>
      </c>
      <c r="D7" s="14" t="s">
        <v>95</v>
      </c>
      <c r="F7" s="14" t="s">
        <v>96</v>
      </c>
      <c r="G7" s="14" t="s">
        <v>97</v>
      </c>
    </row>
    <row r="8" spans="1:8" ht="30" customHeight="1" x14ac:dyDescent="0.25">
      <c r="B8" s="15" t="s">
        <v>109</v>
      </c>
      <c r="D8" s="16" t="s">
        <v>110</v>
      </c>
      <c r="F8" s="17"/>
      <c r="G8" s="18" t="str">
        <f>IF(F8="","",IFERROR(IF(ABS(F8-5)&lt;0.01,"✓  Correct","✗  Try again"),"✗  Try again"))</f>
        <v/>
      </c>
    </row>
    <row r="9" spans="1:8" ht="30" customHeight="1" x14ac:dyDescent="0.25">
      <c r="B9" s="15" t="s">
        <v>111</v>
      </c>
      <c r="D9" s="16" t="s">
        <v>110</v>
      </c>
      <c r="F9" s="17"/>
      <c r="G9" s="18" t="str">
        <f>IF(F9="","",IFERROR(IF(ABS(F9-4)&lt;0.01,"✓  Correct","✗  Try again"),"✗  Try again"))</f>
        <v/>
      </c>
    </row>
    <row r="10" spans="1:8" ht="30" customHeight="1" x14ac:dyDescent="0.25">
      <c r="B10" s="15" t="s">
        <v>112</v>
      </c>
      <c r="D10" s="16" t="s">
        <v>110</v>
      </c>
      <c r="F10" s="17"/>
      <c r="G10" s="18" t="str">
        <f>IF(F10="","",IFERROR(IF(ABS(F10-2)&lt;0.01,"✓  Correct","✗  Try again"),"✗  Try again"))</f>
        <v/>
      </c>
    </row>
    <row r="11" spans="1:8" ht="36" customHeight="1" x14ac:dyDescent="0.25">
      <c r="B11" s="15" t="s">
        <v>113</v>
      </c>
      <c r="D11" s="16" t="s">
        <v>114</v>
      </c>
      <c r="F11" s="17"/>
      <c r="G11" s="18" t="str">
        <f>IF(F11="","",IFERROR(IF(ABS(F11-1430)&lt;0.01,"✓  Correct","✗  Try again"),"✗  Try again"))</f>
        <v/>
      </c>
    </row>
    <row r="12" spans="1:8" ht="30" customHeight="1" x14ac:dyDescent="0.25">
      <c r="B12" s="15" t="s">
        <v>115</v>
      </c>
      <c r="D12" s="16" t="s">
        <v>116</v>
      </c>
      <c r="F12" s="17"/>
      <c r="G12" s="18" t="str">
        <f>IF(F12="","",IFERROR(IF(ABS(F12-1193.33)&lt;0.01,"✓  Correct","✗  Try again"),"✗  Try again"))</f>
        <v/>
      </c>
    </row>
  </sheetData>
  <mergeCells count="4">
    <mergeCell ref="A2:H2"/>
    <mergeCell ref="A6:H6"/>
    <mergeCell ref="A5:H5"/>
    <mergeCell ref="A1:H1"/>
  </mergeCells>
  <pageMargins left="0.75" right="0.75" top="1" bottom="1" header="0.5" footer="0.5"/>
  <pageSetup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B4BA8"/>
    <pageSetUpPr fitToPage="1"/>
  </sheetPr>
  <dimension ref="A1:H12"/>
  <sheetViews>
    <sheetView workbookViewId="0">
      <selection sqref="A1:H1"/>
    </sheetView>
  </sheetViews>
  <sheetFormatPr defaultRowHeight="15" x14ac:dyDescent="0.25"/>
  <cols>
    <col min="1" max="1" width="2" customWidth="1"/>
    <col min="2" max="2" width="42" customWidth="1"/>
    <col min="3" max="3" width="2" customWidth="1"/>
    <col min="4" max="4" width="24" customWidth="1"/>
    <col min="5" max="5" width="2" customWidth="1"/>
    <col min="6" max="6" width="15" customWidth="1"/>
    <col min="7" max="7" width="13" customWidth="1"/>
    <col min="8" max="8" width="4" customWidth="1"/>
  </cols>
  <sheetData>
    <row r="1" spans="1:8" ht="26.1" customHeight="1" x14ac:dyDescent="0.35">
      <c r="A1" s="25" t="s">
        <v>117</v>
      </c>
      <c r="B1" s="21"/>
      <c r="C1" s="21"/>
      <c r="D1" s="21"/>
      <c r="E1" s="21"/>
      <c r="F1" s="21"/>
      <c r="G1" s="21"/>
      <c r="H1" s="21"/>
    </row>
    <row r="2" spans="1:8" x14ac:dyDescent="0.25">
      <c r="A2" s="24" t="s">
        <v>118</v>
      </c>
      <c r="B2" s="21"/>
      <c r="C2" s="21"/>
      <c r="D2" s="21"/>
      <c r="E2" s="21"/>
      <c r="F2" s="21"/>
      <c r="G2" s="21"/>
      <c r="H2" s="21"/>
    </row>
    <row r="4" spans="1:8" ht="15.95" customHeight="1" x14ac:dyDescent="0.25">
      <c r="A4" s="2" t="s">
        <v>91</v>
      </c>
      <c r="B4" s="3"/>
      <c r="C4" s="3"/>
      <c r="D4" s="3"/>
      <c r="E4" s="3"/>
      <c r="F4" s="3"/>
      <c r="G4" s="3"/>
      <c r="H4" s="3"/>
    </row>
    <row r="5" spans="1:8" ht="36" customHeight="1" x14ac:dyDescent="0.25">
      <c r="A5" s="22" t="s">
        <v>119</v>
      </c>
      <c r="B5" s="21"/>
      <c r="C5" s="21"/>
      <c r="D5" s="21"/>
      <c r="E5" s="21"/>
      <c r="F5" s="21"/>
      <c r="G5" s="21"/>
      <c r="H5" s="21"/>
    </row>
    <row r="6" spans="1:8" ht="19.5" customHeight="1" x14ac:dyDescent="0.25">
      <c r="A6" s="30" t="s">
        <v>120</v>
      </c>
      <c r="B6" s="21"/>
      <c r="C6" s="21"/>
      <c r="D6" s="21"/>
      <c r="E6" s="21"/>
      <c r="F6" s="21"/>
      <c r="G6" s="21"/>
      <c r="H6" s="21"/>
    </row>
    <row r="7" spans="1:8" ht="21" customHeight="1" x14ac:dyDescent="0.25">
      <c r="A7" s="29" t="s">
        <v>93</v>
      </c>
      <c r="B7" s="21"/>
      <c r="C7" s="21"/>
      <c r="D7" s="21"/>
      <c r="E7" s="21"/>
      <c r="F7" s="21"/>
      <c r="G7" s="21"/>
      <c r="H7" s="21"/>
    </row>
    <row r="8" spans="1:8" ht="21" customHeight="1" x14ac:dyDescent="0.25">
      <c r="B8" s="14" t="s">
        <v>94</v>
      </c>
      <c r="D8" s="14" t="s">
        <v>95</v>
      </c>
      <c r="F8" s="14" t="s">
        <v>96</v>
      </c>
      <c r="G8" s="14" t="s">
        <v>97</v>
      </c>
    </row>
    <row r="9" spans="1:8" ht="30" customHeight="1" x14ac:dyDescent="0.25">
      <c r="B9" s="15" t="s">
        <v>121</v>
      </c>
      <c r="D9" s="16" t="s">
        <v>122</v>
      </c>
      <c r="F9" s="17"/>
      <c r="G9" s="18" t="str">
        <f>IF(F9="","",IFERROR(IF(ABS(F9-2)&lt;0.01,"✓  Correct","✗  Try again"),"✗  Try again"))</f>
        <v/>
      </c>
    </row>
    <row r="10" spans="1:8" ht="30" customHeight="1" x14ac:dyDescent="0.25">
      <c r="B10" s="15" t="s">
        <v>123</v>
      </c>
      <c r="D10" s="16" t="s">
        <v>124</v>
      </c>
      <c r="F10" s="17"/>
      <c r="G10" s="18" t="str">
        <f>IF(F10="","",IFERROR(IF(ABS(F10-2)&lt;0.01,"✓  Correct","✗  Try again"),"✗  Try again"))</f>
        <v/>
      </c>
    </row>
    <row r="11" spans="1:8" ht="36" customHeight="1" x14ac:dyDescent="0.25">
      <c r="B11" s="15" t="s">
        <v>125</v>
      </c>
      <c r="D11" s="16" t="s">
        <v>126</v>
      </c>
      <c r="F11" s="17"/>
      <c r="G11" s="18" t="str">
        <f>IF(F11="","",IFERROR(IF(ABS(F11-5)&lt;0.01,"✓  Correct","✗  Try again"),"✗  Try again"))</f>
        <v/>
      </c>
    </row>
    <row r="12" spans="1:8" ht="36" customHeight="1" x14ac:dyDescent="0.25">
      <c r="B12" s="15" t="s">
        <v>127</v>
      </c>
      <c r="D12" s="16" t="s">
        <v>128</v>
      </c>
      <c r="F12" s="17"/>
      <c r="G12" s="18" t="str">
        <f>IF(F12="","",IFERROR(IF(ABS(F12-6)&lt;0.01,"✓  Correct","✗  Try again"),"✗  Try again"))</f>
        <v/>
      </c>
    </row>
  </sheetData>
  <mergeCells count="5">
    <mergeCell ref="A1:H1"/>
    <mergeCell ref="A7:H7"/>
    <mergeCell ref="A2:H2"/>
    <mergeCell ref="A5:H5"/>
    <mergeCell ref="A6:H6"/>
  </mergeCells>
  <pageMargins left="0.75" right="0.75" top="1" bottom="1" header="0.5" footer="0.5"/>
  <pageSetup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B4BA8"/>
    <pageSetUpPr fitToPage="1"/>
  </sheetPr>
  <dimension ref="A1:H11"/>
  <sheetViews>
    <sheetView workbookViewId="0">
      <selection sqref="A1:H1"/>
    </sheetView>
  </sheetViews>
  <sheetFormatPr defaultRowHeight="15" x14ac:dyDescent="0.25"/>
  <cols>
    <col min="1" max="1" width="2" customWidth="1"/>
    <col min="2" max="2" width="42" customWidth="1"/>
    <col min="3" max="3" width="2" customWidth="1"/>
    <col min="4" max="4" width="24" customWidth="1"/>
    <col min="5" max="5" width="2" customWidth="1"/>
    <col min="6" max="6" width="15" customWidth="1"/>
    <col min="7" max="7" width="13" customWidth="1"/>
    <col min="8" max="8" width="4" customWidth="1"/>
  </cols>
  <sheetData>
    <row r="1" spans="1:8" ht="26.1" customHeight="1" x14ac:dyDescent="0.35">
      <c r="A1" s="25" t="s">
        <v>129</v>
      </c>
      <c r="B1" s="21"/>
      <c r="C1" s="21"/>
      <c r="D1" s="21"/>
      <c r="E1" s="21"/>
      <c r="F1" s="21"/>
      <c r="G1" s="21"/>
      <c r="H1" s="21"/>
    </row>
    <row r="2" spans="1:8" x14ac:dyDescent="0.25">
      <c r="A2" s="24" t="s">
        <v>130</v>
      </c>
      <c r="B2" s="21"/>
      <c r="C2" s="21"/>
      <c r="D2" s="21"/>
      <c r="E2" s="21"/>
      <c r="F2" s="21"/>
      <c r="G2" s="21"/>
      <c r="H2" s="21"/>
    </row>
    <row r="4" spans="1:8" ht="15.95" customHeight="1" x14ac:dyDescent="0.25">
      <c r="A4" s="2" t="s">
        <v>91</v>
      </c>
      <c r="B4" s="3"/>
      <c r="C4" s="3"/>
      <c r="D4" s="3"/>
      <c r="E4" s="3"/>
      <c r="F4" s="3"/>
      <c r="G4" s="3"/>
      <c r="H4" s="3"/>
    </row>
    <row r="5" spans="1:8" ht="36" customHeight="1" x14ac:dyDescent="0.25">
      <c r="A5" s="22" t="s">
        <v>131</v>
      </c>
      <c r="B5" s="21"/>
      <c r="C5" s="21"/>
      <c r="D5" s="21"/>
      <c r="E5" s="21"/>
      <c r="F5" s="21"/>
      <c r="G5" s="21"/>
      <c r="H5" s="21"/>
    </row>
    <row r="6" spans="1:8" ht="21" customHeight="1" x14ac:dyDescent="0.25">
      <c r="A6" s="29" t="s">
        <v>93</v>
      </c>
      <c r="B6" s="21"/>
      <c r="C6" s="21"/>
      <c r="D6" s="21"/>
      <c r="E6" s="21"/>
      <c r="F6" s="21"/>
      <c r="G6" s="21"/>
      <c r="H6" s="21"/>
    </row>
    <row r="7" spans="1:8" ht="21" customHeight="1" x14ac:dyDescent="0.25">
      <c r="B7" s="14" t="s">
        <v>94</v>
      </c>
      <c r="D7" s="14" t="s">
        <v>95</v>
      </c>
      <c r="F7" s="14" t="s">
        <v>96</v>
      </c>
      <c r="G7" s="14" t="s">
        <v>97</v>
      </c>
    </row>
    <row r="8" spans="1:8" ht="36" customHeight="1" x14ac:dyDescent="0.25">
      <c r="B8" s="15" t="s">
        <v>132</v>
      </c>
      <c r="D8" s="16" t="s">
        <v>133</v>
      </c>
      <c r="F8" s="17"/>
      <c r="G8" s="18" t="str">
        <f>IF(F8="","",IFERROR(IF(ABS(F8-2860)&lt;0.01,"✓  Correct","✗  Try again"),"✗  Try again"))</f>
        <v/>
      </c>
    </row>
    <row r="9" spans="1:8" ht="36" customHeight="1" x14ac:dyDescent="0.25">
      <c r="B9" s="15" t="s">
        <v>134</v>
      </c>
      <c r="D9" s="16" t="s">
        <v>135</v>
      </c>
      <c r="F9" s="17"/>
      <c r="G9" s="18" t="str">
        <f>IF(F9="","",IFERROR(IF(ABS(F9-1280)&lt;0.01,"✓  Correct","✗  Try again"),"✗  Try again"))</f>
        <v/>
      </c>
    </row>
    <row r="10" spans="1:8" ht="36" customHeight="1" x14ac:dyDescent="0.25">
      <c r="B10" s="15" t="s">
        <v>136</v>
      </c>
      <c r="D10" s="16" t="s">
        <v>137</v>
      </c>
      <c r="F10" s="17"/>
      <c r="G10" s="18" t="str">
        <f>IF(F10="","",IFERROR(IF(ABS(F10-1200)&lt;0.01,"✓  Correct","✗  Try again"),"✗  Try again"))</f>
        <v/>
      </c>
    </row>
    <row r="11" spans="1:8" ht="36" customHeight="1" x14ac:dyDescent="0.25">
      <c r="B11" s="15" t="s">
        <v>138</v>
      </c>
      <c r="D11" s="16" t="s">
        <v>139</v>
      </c>
      <c r="F11" s="17"/>
      <c r="G11" s="18" t="str">
        <f>IF(F11="","",IF(ISNUMBER(SEARCH("Paramount",F11)),"✓  Correct","✗  Try again"))</f>
        <v/>
      </c>
    </row>
  </sheetData>
  <mergeCells count="4">
    <mergeCell ref="A2:H2"/>
    <mergeCell ref="A6:H6"/>
    <mergeCell ref="A5:H5"/>
    <mergeCell ref="A1:H1"/>
  </mergeCells>
  <pageMargins left="0.75" right="0.75" top="1" bottom="1" header="0.5" footer="0.5"/>
  <pageSetup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7B4BA8"/>
    <pageSetUpPr fitToPage="1"/>
  </sheetPr>
  <dimension ref="A1:H12"/>
  <sheetViews>
    <sheetView workbookViewId="0">
      <selection sqref="A1:H1"/>
    </sheetView>
  </sheetViews>
  <sheetFormatPr defaultRowHeight="15" x14ac:dyDescent="0.25"/>
  <cols>
    <col min="1" max="1" width="2" customWidth="1"/>
    <col min="2" max="2" width="42" customWidth="1"/>
    <col min="3" max="3" width="2" customWidth="1"/>
    <col min="4" max="4" width="24" customWidth="1"/>
    <col min="5" max="5" width="2" customWidth="1"/>
    <col min="6" max="6" width="15" customWidth="1"/>
    <col min="7" max="7" width="13" customWidth="1"/>
    <col min="8" max="8" width="4" customWidth="1"/>
  </cols>
  <sheetData>
    <row r="1" spans="1:8" ht="26.1" customHeight="1" x14ac:dyDescent="0.35">
      <c r="A1" s="25" t="s">
        <v>140</v>
      </c>
      <c r="B1" s="21"/>
      <c r="C1" s="21"/>
      <c r="D1" s="21"/>
      <c r="E1" s="21"/>
      <c r="F1" s="21"/>
      <c r="G1" s="21"/>
      <c r="H1" s="21"/>
    </row>
    <row r="2" spans="1:8" x14ac:dyDescent="0.25">
      <c r="A2" s="24" t="s">
        <v>141</v>
      </c>
      <c r="B2" s="21"/>
      <c r="C2" s="21"/>
      <c r="D2" s="21"/>
      <c r="E2" s="21"/>
      <c r="F2" s="21"/>
      <c r="G2" s="21"/>
      <c r="H2" s="21"/>
    </row>
    <row r="4" spans="1:8" ht="15.95" customHeight="1" x14ac:dyDescent="0.25">
      <c r="A4" s="2" t="s">
        <v>91</v>
      </c>
      <c r="B4" s="3"/>
      <c r="C4" s="3"/>
      <c r="D4" s="3"/>
      <c r="E4" s="3"/>
      <c r="F4" s="3"/>
      <c r="G4" s="3"/>
      <c r="H4" s="3"/>
    </row>
    <row r="5" spans="1:8" ht="51" customHeight="1" x14ac:dyDescent="0.25">
      <c r="A5" s="22" t="s">
        <v>142</v>
      </c>
      <c r="B5" s="21"/>
      <c r="C5" s="21"/>
      <c r="D5" s="21"/>
      <c r="E5" s="21"/>
      <c r="F5" s="21"/>
      <c r="G5" s="21"/>
      <c r="H5" s="21"/>
    </row>
    <row r="6" spans="1:8" ht="19.5" customHeight="1" x14ac:dyDescent="0.25">
      <c r="A6" s="30" t="s">
        <v>143</v>
      </c>
      <c r="B6" s="21"/>
      <c r="C6" s="21"/>
      <c r="D6" s="21"/>
      <c r="E6" s="21"/>
      <c r="F6" s="21"/>
      <c r="G6" s="21"/>
      <c r="H6" s="21"/>
    </row>
    <row r="7" spans="1:8" ht="21" customHeight="1" x14ac:dyDescent="0.25">
      <c r="A7" s="29" t="s">
        <v>93</v>
      </c>
      <c r="B7" s="21"/>
      <c r="C7" s="21"/>
      <c r="D7" s="21"/>
      <c r="E7" s="21"/>
      <c r="F7" s="21"/>
      <c r="G7" s="21"/>
      <c r="H7" s="21"/>
    </row>
    <row r="8" spans="1:8" ht="21" customHeight="1" x14ac:dyDescent="0.25">
      <c r="B8" s="14" t="s">
        <v>94</v>
      </c>
      <c r="D8" s="14" t="s">
        <v>95</v>
      </c>
      <c r="F8" s="14" t="s">
        <v>96</v>
      </c>
      <c r="G8" s="14" t="s">
        <v>97</v>
      </c>
    </row>
    <row r="9" spans="1:8" ht="36" customHeight="1" x14ac:dyDescent="0.25">
      <c r="B9" s="15" t="s">
        <v>144</v>
      </c>
      <c r="D9" s="16" t="s">
        <v>145</v>
      </c>
      <c r="F9" s="17"/>
      <c r="G9" s="18" t="str">
        <f>IF(F9="","",IF(ISNUMBER(SEARCH("Sci-Fi",F9)),"✓  Correct","✗  Try again"))</f>
        <v/>
      </c>
    </row>
    <row r="10" spans="1:8" ht="30" customHeight="1" x14ac:dyDescent="0.25">
      <c r="B10" s="15" t="s">
        <v>146</v>
      </c>
      <c r="D10" s="16" t="s">
        <v>147</v>
      </c>
      <c r="F10" s="17"/>
      <c r="G10" s="18" t="str">
        <f>IF(F10="","",IF(ISNUMBER(SEARCH("Adventure",F10)),"✓  Correct","✗  Try again"))</f>
        <v/>
      </c>
    </row>
    <row r="11" spans="1:8" ht="36" customHeight="1" x14ac:dyDescent="0.25">
      <c r="B11" s="15" t="s">
        <v>148</v>
      </c>
      <c r="D11" s="16" t="s">
        <v>149</v>
      </c>
      <c r="F11" s="17"/>
      <c r="G11" s="18" t="str">
        <f>IF(F11="","",IFERROR(IF(ABS(F11-4890)&lt;0.01,"✓  Correct","✗  Try again"),"✗  Try again"))</f>
        <v/>
      </c>
    </row>
    <row r="12" spans="1:8" ht="36" customHeight="1" x14ac:dyDescent="0.25">
      <c r="B12" s="15" t="s">
        <v>150</v>
      </c>
      <c r="D12" s="16" t="s">
        <v>151</v>
      </c>
      <c r="F12" s="17"/>
      <c r="G12" s="18" t="str">
        <f>IF(F12="","",IF(ISNUMBER(SEARCH("yes",F12)),"✓  Correct","✗  Try again"))</f>
        <v/>
      </c>
    </row>
  </sheetData>
  <mergeCells count="5">
    <mergeCell ref="A1:H1"/>
    <mergeCell ref="A7:H7"/>
    <mergeCell ref="A2:H2"/>
    <mergeCell ref="A5:H5"/>
    <mergeCell ref="A6:H6"/>
  </mergeCells>
  <pageMargins left="0.75" right="0.75" top="1" bottom="1" header="0.5" footer="0.5"/>
  <pageSetup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548235"/>
    <pageSetUpPr fitToPage="1"/>
  </sheetPr>
  <dimension ref="A1:H13"/>
  <sheetViews>
    <sheetView tabSelected="1" workbookViewId="0">
      <selection sqref="A1:H1"/>
    </sheetView>
  </sheetViews>
  <sheetFormatPr defaultRowHeight="15" x14ac:dyDescent="0.25"/>
  <cols>
    <col min="1" max="1" width="18" customWidth="1"/>
    <col min="2" max="8" width="10" customWidth="1"/>
  </cols>
  <sheetData>
    <row r="1" spans="1:8" ht="26.1" customHeight="1" x14ac:dyDescent="0.35">
      <c r="A1" s="25" t="s">
        <v>152</v>
      </c>
      <c r="B1" s="21"/>
      <c r="C1" s="21"/>
      <c r="D1" s="21"/>
      <c r="E1" s="21"/>
      <c r="F1" s="21"/>
      <c r="G1" s="21"/>
      <c r="H1" s="21"/>
    </row>
    <row r="2" spans="1:8" x14ac:dyDescent="0.25">
      <c r="A2" s="24" t="s">
        <v>153</v>
      </c>
      <c r="B2" s="21"/>
      <c r="C2" s="21"/>
      <c r="D2" s="21"/>
      <c r="E2" s="21"/>
      <c r="F2" s="21"/>
      <c r="G2" s="21"/>
      <c r="H2" s="21"/>
    </row>
    <row r="4" spans="1:8" ht="20.100000000000001" customHeight="1" x14ac:dyDescent="0.25">
      <c r="A4" s="4" t="s">
        <v>154</v>
      </c>
      <c r="B4" s="23" t="s">
        <v>155</v>
      </c>
      <c r="C4" s="21"/>
      <c r="D4" s="21"/>
      <c r="E4" s="21"/>
      <c r="F4" s="21"/>
      <c r="G4" s="21"/>
      <c r="H4" s="21"/>
    </row>
    <row r="5" spans="1:8" ht="20.100000000000001" customHeight="1" x14ac:dyDescent="0.25">
      <c r="A5" s="4" t="s">
        <v>5</v>
      </c>
      <c r="B5" s="23" t="s">
        <v>156</v>
      </c>
      <c r="C5" s="21"/>
      <c r="D5" s="21"/>
      <c r="E5" s="21"/>
      <c r="F5" s="21"/>
      <c r="G5" s="21"/>
      <c r="H5" s="21"/>
    </row>
    <row r="6" spans="1:8" ht="20.100000000000001" customHeight="1" x14ac:dyDescent="0.25">
      <c r="A6" s="4" t="s">
        <v>7</v>
      </c>
      <c r="B6" s="23" t="s">
        <v>157</v>
      </c>
      <c r="C6" s="21"/>
      <c r="D6" s="21"/>
      <c r="E6" s="21"/>
      <c r="F6" s="21"/>
      <c r="G6" s="21"/>
      <c r="H6" s="21"/>
    </row>
    <row r="7" spans="1:8" ht="33.950000000000003" customHeight="1" x14ac:dyDescent="0.25">
      <c r="A7" s="4" t="s">
        <v>9</v>
      </c>
      <c r="B7" s="23" t="s">
        <v>158</v>
      </c>
      <c r="C7" s="21"/>
      <c r="D7" s="21"/>
      <c r="E7" s="21"/>
      <c r="F7" s="21"/>
      <c r="G7" s="21"/>
      <c r="H7" s="21"/>
    </row>
    <row r="8" spans="1:8" ht="20.100000000000001" customHeight="1" x14ac:dyDescent="0.25">
      <c r="A8" s="4" t="s">
        <v>11</v>
      </c>
      <c r="B8" s="23" t="s">
        <v>159</v>
      </c>
      <c r="C8" s="21"/>
      <c r="D8" s="21"/>
      <c r="E8" s="21"/>
      <c r="F8" s="21"/>
      <c r="G8" s="21"/>
      <c r="H8" s="21"/>
    </row>
    <row r="9" spans="1:8" ht="20.100000000000001" customHeight="1" x14ac:dyDescent="0.25">
      <c r="A9" s="4" t="s">
        <v>160</v>
      </c>
      <c r="B9" s="23" t="s">
        <v>161</v>
      </c>
      <c r="C9" s="21"/>
      <c r="D9" s="21"/>
      <c r="E9" s="21"/>
      <c r="F9" s="21"/>
      <c r="G9" s="21"/>
      <c r="H9" s="21"/>
    </row>
    <row r="10" spans="1:8" ht="33.950000000000003" customHeight="1" x14ac:dyDescent="0.25">
      <c r="A10" s="4" t="s">
        <v>162</v>
      </c>
      <c r="B10" s="23" t="s">
        <v>163</v>
      </c>
      <c r="C10" s="21"/>
      <c r="D10" s="21"/>
      <c r="E10" s="21"/>
      <c r="F10" s="21"/>
      <c r="G10" s="21"/>
      <c r="H10" s="21"/>
    </row>
    <row r="11" spans="1:8" ht="33.950000000000003" customHeight="1" x14ac:dyDescent="0.25">
      <c r="A11" s="4" t="s">
        <v>164</v>
      </c>
      <c r="B11" s="23" t="s">
        <v>165</v>
      </c>
      <c r="C11" s="21"/>
      <c r="D11" s="21"/>
      <c r="E11" s="21"/>
      <c r="F11" s="21"/>
      <c r="G11" s="21"/>
      <c r="H11" s="21"/>
    </row>
    <row r="12" spans="1:8" ht="33.950000000000003" customHeight="1" x14ac:dyDescent="0.25">
      <c r="A12" s="4" t="s">
        <v>166</v>
      </c>
      <c r="B12" s="23" t="s">
        <v>167</v>
      </c>
      <c r="C12" s="21"/>
      <c r="D12" s="21"/>
      <c r="E12" s="21"/>
      <c r="F12" s="21"/>
      <c r="G12" s="21"/>
      <c r="H12" s="21"/>
    </row>
    <row r="13" spans="1:8" ht="20.100000000000001" customHeight="1" x14ac:dyDescent="0.25">
      <c r="A13" s="4" t="s">
        <v>45</v>
      </c>
      <c r="B13" s="23" t="s">
        <v>168</v>
      </c>
      <c r="C13" s="21"/>
      <c r="D13" s="21"/>
      <c r="E13" s="21"/>
      <c r="F13" s="21"/>
      <c r="G13" s="21"/>
      <c r="H13" s="21"/>
    </row>
  </sheetData>
  <mergeCells count="12">
    <mergeCell ref="A1:H1"/>
    <mergeCell ref="B10:H10"/>
    <mergeCell ref="B11:H11"/>
    <mergeCell ref="B5:H5"/>
    <mergeCell ref="B8:H8"/>
    <mergeCell ref="B9:H9"/>
    <mergeCell ref="B13:H13"/>
    <mergeCell ref="B4:H4"/>
    <mergeCell ref="A2:H2"/>
    <mergeCell ref="B12:H12"/>
    <mergeCell ref="B6:H6"/>
    <mergeCell ref="B7:H7"/>
  </mergeCells>
  <pageMargins left="0.75" right="0.75" top="1" bottom="1" header="0.5" footer="0.5"/>
  <pageSetup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BF8F00"/>
    <pageSetUpPr fitToPage="1"/>
  </sheetPr>
  <dimension ref="A1:H14"/>
  <sheetViews>
    <sheetView workbookViewId="0"/>
  </sheetViews>
  <sheetFormatPr defaultRowHeight="15" x14ac:dyDescent="0.25"/>
  <cols>
    <col min="1" max="1" width="2" customWidth="1"/>
    <col min="2" max="2" width="6" customWidth="1"/>
    <col min="3" max="6" width="15" customWidth="1"/>
    <col min="7" max="7" width="5" customWidth="1"/>
    <col min="8" max="8" width="13" customWidth="1"/>
  </cols>
  <sheetData>
    <row r="1" spans="1:8" ht="26.1" customHeight="1" x14ac:dyDescent="0.35">
      <c r="A1" s="25" t="s">
        <v>169</v>
      </c>
      <c r="B1" s="21"/>
      <c r="C1" s="21"/>
      <c r="D1" s="21"/>
      <c r="E1" s="21"/>
      <c r="F1" s="21"/>
      <c r="G1" s="21"/>
      <c r="H1" s="21"/>
    </row>
    <row r="2" spans="1:8" x14ac:dyDescent="0.25">
      <c r="A2" s="24" t="s">
        <v>170</v>
      </c>
      <c r="B2" s="21"/>
      <c r="C2" s="21"/>
      <c r="D2" s="21"/>
      <c r="E2" s="21"/>
      <c r="F2" s="21"/>
      <c r="G2" s="21"/>
      <c r="H2" s="21"/>
    </row>
    <row r="4" spans="1:8" ht="21" customHeight="1" x14ac:dyDescent="0.25">
      <c r="A4" s="22" t="s">
        <v>171</v>
      </c>
      <c r="B4" s="21"/>
      <c r="C4" s="21"/>
      <c r="D4" s="21"/>
      <c r="E4" s="21"/>
      <c r="F4" s="21"/>
      <c r="G4" s="21"/>
      <c r="H4" s="21"/>
    </row>
    <row r="6" spans="1:8" x14ac:dyDescent="0.25">
      <c r="B6" s="6" t="s">
        <v>172</v>
      </c>
      <c r="C6" s="6" t="s">
        <v>173</v>
      </c>
      <c r="G6" s="6" t="s">
        <v>174</v>
      </c>
    </row>
    <row r="7" spans="1:8" ht="21" customHeight="1" x14ac:dyDescent="0.3">
      <c r="B7" s="17"/>
      <c r="C7" s="31" t="s">
        <v>175</v>
      </c>
      <c r="D7" s="21"/>
      <c r="E7" s="21"/>
      <c r="F7" s="21"/>
      <c r="G7" s="19" t="str">
        <f t="shared" ref="G7:G12" si="0">IF(LOWER(B7)="x","✓","")</f>
        <v/>
      </c>
    </row>
    <row r="8" spans="1:8" ht="21" customHeight="1" x14ac:dyDescent="0.3">
      <c r="B8" s="17"/>
      <c r="C8" s="31" t="s">
        <v>176</v>
      </c>
      <c r="D8" s="21"/>
      <c r="E8" s="21"/>
      <c r="F8" s="21"/>
      <c r="G8" s="19" t="str">
        <f t="shared" si="0"/>
        <v/>
      </c>
    </row>
    <row r="9" spans="1:8" ht="21" customHeight="1" x14ac:dyDescent="0.3">
      <c r="B9" s="17"/>
      <c r="C9" s="31" t="s">
        <v>177</v>
      </c>
      <c r="D9" s="21"/>
      <c r="E9" s="21"/>
      <c r="F9" s="21"/>
      <c r="G9" s="19" t="str">
        <f t="shared" si="0"/>
        <v/>
      </c>
    </row>
    <row r="10" spans="1:8" ht="21" customHeight="1" x14ac:dyDescent="0.3">
      <c r="B10" s="17"/>
      <c r="C10" s="31" t="s">
        <v>178</v>
      </c>
      <c r="D10" s="21"/>
      <c r="E10" s="21"/>
      <c r="F10" s="21"/>
      <c r="G10" s="19" t="str">
        <f t="shared" si="0"/>
        <v/>
      </c>
    </row>
    <row r="11" spans="1:8" ht="21" customHeight="1" x14ac:dyDescent="0.3">
      <c r="B11" s="17"/>
      <c r="C11" s="31" t="s">
        <v>179</v>
      </c>
      <c r="D11" s="21"/>
      <c r="E11" s="21"/>
      <c r="F11" s="21"/>
      <c r="G11" s="19" t="str">
        <f t="shared" si="0"/>
        <v/>
      </c>
    </row>
    <row r="12" spans="1:8" ht="21" customHeight="1" x14ac:dyDescent="0.3">
      <c r="B12" s="17"/>
      <c r="C12" s="31" t="s">
        <v>180</v>
      </c>
      <c r="D12" s="21"/>
      <c r="E12" s="21"/>
      <c r="F12" s="21"/>
      <c r="G12" s="19" t="str">
        <f t="shared" si="0"/>
        <v/>
      </c>
    </row>
    <row r="14" spans="1:8" ht="38.1" customHeight="1" x14ac:dyDescent="0.25">
      <c r="C14" s="32" t="str">
        <f>IF(COUNTIF(B7:B12,"x")=6,"All ticked — pivots are yours. Take it onto real data.","Keep going — "&amp;(6-COUNTIF(B7:B12,"x"))&amp;" to go.")</f>
        <v>Keep going — 6 to go.</v>
      </c>
      <c r="D14" s="21"/>
      <c r="E14" s="21"/>
      <c r="F14" s="21"/>
      <c r="G14" s="21"/>
      <c r="H14" s="21"/>
    </row>
  </sheetData>
  <mergeCells count="10">
    <mergeCell ref="A1:H1"/>
    <mergeCell ref="C10:F10"/>
    <mergeCell ref="A4:H4"/>
    <mergeCell ref="C9:F9"/>
    <mergeCell ref="C8:F8"/>
    <mergeCell ref="C14:H14"/>
    <mergeCell ref="A2:H2"/>
    <mergeCell ref="C12:F12"/>
    <mergeCell ref="C7:F7"/>
    <mergeCell ref="C11:F11"/>
  </mergeCells>
  <pageMargins left="0.75" right="0.75" top="1" bottom="1" header="0.5" footer="0.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Start Here</vt:lpstr>
      <vt:lpstr>How to Build a Pivot</vt:lpstr>
      <vt:lpstr>Data</vt:lpstr>
      <vt:lpstr>Task 1 - Sum by Group</vt:lpstr>
      <vt:lpstr>Task 2 - Count &amp; Average</vt:lpstr>
      <vt:lpstr>Task 3 - Rows &amp; Columns</vt:lpstr>
      <vt:lpstr>Task 4 - Filter &amp; Sort</vt:lpstr>
      <vt:lpstr>Task 5 - PivotChart</vt:lpstr>
      <vt:lpstr>Support</vt:lpstr>
      <vt:lpstr>Confidence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Michael Chittenden</cp:lastModifiedBy>
  <dcterms:created xsi:type="dcterms:W3CDTF">2026-06-23T20:19:02Z</dcterms:created>
  <dcterms:modified xsi:type="dcterms:W3CDTF">2026-06-23T20:27:06Z</dcterms:modified>
</cp:coreProperties>
</file>