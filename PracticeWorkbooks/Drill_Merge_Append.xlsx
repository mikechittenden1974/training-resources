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art Here" sheetId="1" r:id="rId5"/>
    <sheet state="visible" name="Customers" sheetId="2" r:id="rId6"/>
    <sheet state="visible" name="Orders" sheetId="3" r:id="rId7"/>
    <sheet state="visible" name="Learn - Left Join" sheetId="4" r:id="rId8"/>
    <sheet state="visible" name="Learn - Inner Join" sheetId="5" r:id="rId9"/>
    <sheet state="visible" name="Learn - Full Outer" sheetId="6" r:id="rId10"/>
    <sheet state="visible" name="Learn - Anti Joins" sheetId="7" r:id="rId11"/>
    <sheet state="visible" name="Drill - Join Types" sheetId="8" r:id="rId12"/>
    <sheet state="visible" name="Append" sheetId="9" r:id="rId13"/>
    <sheet state="visible" name="Support" sheetId="10" r:id="rId14"/>
    <sheet state="visible" name="Confidence" sheetId="11" r:id="rId15"/>
  </sheets>
  <definedNames/>
  <calcPr/>
</workbook>
</file>

<file path=xl/sharedStrings.xml><?xml version="1.0" encoding="utf-8"?>
<sst xmlns="http://schemas.openxmlformats.org/spreadsheetml/2006/main" count="213" uniqueCount="147">
  <si>
    <t>Merge, Append &amp; Join Types</t>
  </si>
  <si>
    <t>Combining whole tables — not just looking up single values</t>
  </si>
  <si>
    <t>A lookup pulls one value into a cell. This drill is about combining ENTIRE TABLES, which is a different and more powerful job done in Power Query. There are two ways to combine tables, and they answer different questions:</t>
  </si>
  <si>
    <t>THE TWO WAYS TO COMBINE TABLES</t>
  </si>
  <si>
    <t>MERGE</t>
  </si>
  <si>
    <t>Joins tables SIDE BY SIDE, matching rows on a shared key — bringing columns from one table next to another. How unmatched rows are treated depends on the JOIN TYPE (left, inner, anti…).</t>
  </si>
  <si>
    <t>APPEND</t>
  </si>
  <si>
    <t>Stacks tables END TO END, on top of each other — for tables with the SAME columns (e.g. January + February + March into one year). No key needed; it just adds rows.</t>
  </si>
  <si>
    <t>Quick test: combining sales reps' separate files into one long list? That's APPEND (same columns, more rows). Adding each customer's details onto their orders? That's MERGE (different columns, matched on a key).</t>
  </si>
  <si>
    <t>How this drill works</t>
  </si>
  <si>
    <t>•  The two small tables (Customers, Orders) are on their own tabs — get to know them.</t>
  </si>
  <si>
    <t>•  Join-type sheets show, with colour, exactly which rows each join keeps or drops.</t>
  </si>
  <si>
    <t>•  Drill questions ask what each join RETURNS (row counts, which rows) — type the answer, get ✓/✗.</t>
  </si>
  <si>
    <t>•  Support is your glossary. Confidence gate at the end.</t>
  </si>
  <si>
    <t>Data — Customers</t>
  </si>
  <si>
    <t>The LEFT table · 5 customers · key = CustomerID</t>
  </si>
  <si>
    <t>CustomerID</t>
  </si>
  <si>
    <t>Name</t>
  </si>
  <si>
    <t>City</t>
  </si>
  <si>
    <t>C1</t>
  </si>
  <si>
    <t>Alice</t>
  </si>
  <si>
    <t>London</t>
  </si>
  <si>
    <t>C2</t>
  </si>
  <si>
    <t>Bob</t>
  </si>
  <si>
    <t>Leeds</t>
  </si>
  <si>
    <t>C3</t>
  </si>
  <si>
    <t>Carmen</t>
  </si>
  <si>
    <t>Bristol</t>
  </si>
  <si>
    <t>C4</t>
  </si>
  <si>
    <t>Dan</t>
  </si>
  <si>
    <t>Cardiff</t>
  </si>
  <si>
    <t>C5</t>
  </si>
  <si>
    <t>Eve</t>
  </si>
  <si>
    <t>York</t>
  </si>
  <si>
    <t>Note: Dan (C4) and Eve (C5) appear here but have NO orders in the Orders table. Keep that in mind — it's what makes the join types give different answers.</t>
  </si>
  <si>
    <t>Data — Orders</t>
  </si>
  <si>
    <t>The RIGHT table · 5 orders · key = CustomerID</t>
  </si>
  <si>
    <t>OrderID</t>
  </si>
  <si>
    <t>Amount</t>
  </si>
  <si>
    <t>O1</t>
  </si>
  <si>
    <t>O2</t>
  </si>
  <si>
    <t>O3</t>
  </si>
  <si>
    <t>O4</t>
  </si>
  <si>
    <t>O5</t>
  </si>
  <si>
    <t>C9</t>
  </si>
  <si>
    <t>Note: Alice (C1) has TWO orders. And order O5 is placed by C9 — a CustomerID that does NOT exist in the Customers table (an 'orphan' order). These two facts drive every join result.</t>
  </si>
  <si>
    <t>Left Join</t>
  </si>
  <si>
    <t>Keep ALL of the left table</t>
  </si>
  <si>
    <t>WHAT IT DOES</t>
  </si>
  <si>
    <t>A LEFT join keeps every row from the first (left) table — here, every Customer — and attaches matching rows from the right. Customers with no order are kept anyway, with blanks where the order would be. This is the everyday default: 'give me all my customers, with their orders where they have them.'</t>
  </si>
  <si>
    <t>WHICH ROWS IT KEEPS  (green = kept · red = dropped · amber = kept but with blanks)</t>
  </si>
  <si>
    <t>Customers</t>
  </si>
  <si>
    <t>Orders</t>
  </si>
  <si>
    <t>Alice (C1)</t>
  </si>
  <si>
    <t>O1 → C1</t>
  </si>
  <si>
    <t>Bob (C2)</t>
  </si>
  <si>
    <t>O2 → C1</t>
  </si>
  <si>
    <t>Carmen (C3)</t>
  </si>
  <si>
    <t>O3 → C2</t>
  </si>
  <si>
    <t>Dan (C4)</t>
  </si>
  <si>
    <t>O4 → C3</t>
  </si>
  <si>
    <t>Eve (C5)</t>
  </si>
  <si>
    <t>O5 → C9</t>
  </si>
  <si>
    <t>RESULT</t>
  </si>
  <si>
    <t>6 rows. All 5 customers are kept. Alice has 2 orders so she appears twice (6 = 4 matched + Dan &amp; Eve with blank orders). The orphan order O5 is DROPPED — it's not attached to any kept customer.</t>
  </si>
  <si>
    <t>⚠  WATCH OUT</t>
  </si>
  <si>
    <t>A left join can return MORE rows than the left table started with, because one customer can match several orders (Alice matches two). It never returns fewer.</t>
  </si>
  <si>
    <t>VENN VIEW — the shaded area is what the join keeps</t>
  </si>
  <si>
    <t>Inner Join</t>
  </si>
  <si>
    <t>Keep only rows that match in BOTH</t>
  </si>
  <si>
    <t>An INNER join keeps only the rows that have a match on BOTH sides. Anything without a partner — a customer with no order, or an order with no customer — is dropped. Use it when you only want complete, matched records.</t>
  </si>
  <si>
    <t>4 rows. Only the matched orders survive: O1, O2 (Alice), O3 (Bob), O4 (Carmen). Dan and Eve are gone (no orders), and orphan O5 is gone (no customer). The strictest common join.</t>
  </si>
  <si>
    <t>Inner joins silently DROP unmatched rows. If your row count falls more than expected after an inner join, that's unmatched data disappearing — check whether it should have matched.</t>
  </si>
  <si>
    <t>Full Outer Join</t>
  </si>
  <si>
    <t>Keep EVERYTHING from both</t>
  </si>
  <si>
    <t>A FULL OUTER join keeps every row from both tables, matching them where it can and leaving blanks where it can't. Nothing is lost from either side. Use it when you need a complete picture, including the rows that don't line up.</t>
  </si>
  <si>
    <t>7 rows. The 4 matched order-rows, PLUS Dan and Eve (customers with no order, blank order side), PLUS orphan O5 (order with no customer, blank customer side). 4 + 2 + 1 = 7.</t>
  </si>
  <si>
    <t>Full outer joins produce blanks on BOTH sides. They're great for spotting mismatches, but messy for analysis — you'll usually filter the blanks afterwards.</t>
  </si>
  <si>
    <t>Anti Joins</t>
  </si>
  <si>
    <t>Find what DOESN'T match</t>
  </si>
  <si>
    <t>Anti joins are the opposite of the others: they keep ONLY the rows that have NO match. A LEFT ANTI join returns left-table rows with no partner (customers with no orders). A RIGHT ANTI join returns right-table rows with no partner (orphan orders). They're the fastest way to find gaps and broken links.</t>
  </si>
  <si>
    <t>LEFT ANTI = 2 rows: Dan and Eve (customers who never ordered). RIGHT ANTI = 1 row: orphan order O5 (an order whose customer doesn't exist). Hugely useful for data-quality checks.</t>
  </si>
  <si>
    <t>Anti joins are underused but powerful. 'Which customers never bought?' and 'Which orders have a bad customer ID?' are both one anti join away — far quicker than hunting with formulas.</t>
  </si>
  <si>
    <t>Drill — Join Types</t>
  </si>
  <si>
    <t>Work out what each join returns</t>
  </si>
  <si>
    <t>Using the Customers (5 rows) and Orders (5 rows) tables, work out what each join produces. Look at the Learn sheets if you need to. Type a number, or a name where asked. The Check column marks you instantly.</t>
  </si>
  <si>
    <t>Question</t>
  </si>
  <si>
    <t>Type your answer</t>
  </si>
  <si>
    <t>Your result</t>
  </si>
  <si>
    <t>Check</t>
  </si>
  <si>
    <t>How many rows does a LEFT join (Customers ← Orders) return?</t>
  </si>
  <si>
    <t>a number</t>
  </si>
  <si>
    <t>How many rows does an INNER join return?</t>
  </si>
  <si>
    <t>How many rows does a FULL OUTER join return?</t>
  </si>
  <si>
    <t>How many customers have NO orders? (left anti)</t>
  </si>
  <si>
    <t>How many orphan orders are there — orders with no real customer? (right anti)</t>
  </si>
  <si>
    <t>In the LEFT join, how many rows does Alice produce on her own? (she has 2 orders)</t>
  </si>
  <si>
    <t>Which join would you use to find customers who never ordered? (one word: inner/left/anti)</t>
  </si>
  <si>
    <t>a word</t>
  </si>
  <si>
    <t>Which join keeps EVERYTHING from both tables? (two words)</t>
  </si>
  <si>
    <t>e.g. ____ ____</t>
  </si>
  <si>
    <t>Append — stacking tables</t>
  </si>
  <si>
    <t>Same columns, more rows</t>
  </si>
  <si>
    <t>APPEND puts tables on top of each other to make one longer table. It's for tables with the SAME columns — the classic case is combining monthly or per-person files (January + February, or Rep A + Rep B) into a single list. There's no key and no matching: it simply stacks the rows.</t>
  </si>
  <si>
    <t>WORKED EXAMPLE</t>
  </si>
  <si>
    <t>Jan orders (2 rows) appended to Feb orders (3 rows)  →  one table of 5 rows</t>
  </si>
  <si>
    <t>Same three columns (OrderID, CustomerID, Amount) in both, so they stack cleanly into 2 + 3 = 5 rows.</t>
  </si>
  <si>
    <t>⚠  COMMON MISTAKE</t>
  </si>
  <si>
    <t>Append needs the columns to MATCH — same names, same order. If one file calls it 'Cust' and another 'CustomerID', Power Query makes two separate columns full of blanks. Tidy the headers first.</t>
  </si>
  <si>
    <t>Now you try — type your answer in the amber cell:</t>
  </si>
  <si>
    <t>Append a 2-row table and a 3-row table (same columns). How many rows?</t>
  </si>
  <si>
    <t>Append three monthly files of 10, 12 and 8 rows. How many rows in total?</t>
  </si>
  <si>
    <t>Append vs Merge: which one stacks rows without needing a key? (one word)</t>
  </si>
  <si>
    <t>Support — your glossary</t>
  </si>
  <si>
    <t>Merge, append and the join types at a glance</t>
  </si>
  <si>
    <t>Merge</t>
  </si>
  <si>
    <t>Combine tables SIDE BY SIDE, matched on a key. The join type decides how unmatched rows are handled.</t>
  </si>
  <si>
    <t>Append</t>
  </si>
  <si>
    <t>Stack tables END TO END (same columns). No key. More rows, same columns.</t>
  </si>
  <si>
    <t>Key</t>
  </si>
  <si>
    <t>The shared column used to match rows in a merge (here, CustomerID).</t>
  </si>
  <si>
    <t>Left join</t>
  </si>
  <si>
    <t>Keep all left-table rows; attach right where it matches; blanks where it doesn't.</t>
  </si>
  <si>
    <t>Inner join</t>
  </si>
  <si>
    <t>Keep only rows matched on BOTH sides. Drops anything unmatched.</t>
  </si>
  <si>
    <t>Right join</t>
  </si>
  <si>
    <t>Keep all right-table rows; attach left where it matches.</t>
  </si>
  <si>
    <t>Full outer</t>
  </si>
  <si>
    <t>Keep everything from both sides, blanks where rows don't line up.</t>
  </si>
  <si>
    <t>Left anti</t>
  </si>
  <si>
    <t>Keep only left rows with NO match (e.g. customers who never ordered).</t>
  </si>
  <si>
    <t>Right anti</t>
  </si>
  <si>
    <t>Keep only right rows with NO match (e.g. orphan orders). Great for finding bad keys.</t>
  </si>
  <si>
    <t>Where to find it</t>
  </si>
  <si>
    <t>Power Query: Home → Combine → Merge Queries (or Append Queries).</t>
  </si>
  <si>
    <t>Confidence check</t>
  </si>
  <si>
    <t>Tick each box you can honestly do</t>
  </si>
  <si>
    <t>Type x in each amber box you can tick. All ticked means you can combine tables with confidence.</t>
  </si>
  <si>
    <t>Tick</t>
  </si>
  <si>
    <t>I can…</t>
  </si>
  <si>
    <t>✓</t>
  </si>
  <si>
    <t>explain the difference between MERGE (side by side) and APPEND (stacked)</t>
  </si>
  <si>
    <t>say what a LEFT join keeps, and why it can grow the row count</t>
  </si>
  <si>
    <t>say what an INNER join drops</t>
  </si>
  <si>
    <t>use a FULL OUTER join to keep everything from both tables</t>
  </si>
  <si>
    <t>use an ANTI join to find unmatched rows (gaps and orphans)</t>
  </si>
  <si>
    <t>append tables and know the columns must match first</t>
  </si>
</sst>
</file>

<file path=xl/styles.xml><?xml version="1.0" encoding="utf-8"?>
<styleSheet xmlns="http://schemas.openxmlformats.org/spreadsheetml/2006/main" xmlns:x14ac="http://schemas.microsoft.com/office/spreadsheetml/2009/9/ac" xmlns:mc="http://schemas.openxmlformats.org/markup-compatibility/2006">
  <fonts count="22">
    <font>
      <sz val="11.0"/>
      <color theme="1"/>
      <name val="Calibri"/>
      <scheme val="minor"/>
    </font>
    <font>
      <b/>
      <sz val="18.0"/>
      <color rgb="FFFFFFFF"/>
      <name val="Calibri"/>
      <scheme val="minor"/>
    </font>
    <font/>
    <font>
      <sz val="11.0"/>
      <color rgb="FFFFFFFF"/>
      <name val="Calibri"/>
      <scheme val="minor"/>
    </font>
    <font>
      <sz val="11.0"/>
      <color rgb="FF000000"/>
      <name val="Calibri"/>
    </font>
    <font>
      <b/>
      <sz val="10.0"/>
      <color rgb="FF5B2A86"/>
      <name val="Calibri"/>
      <scheme val="minor"/>
    </font>
    <font>
      <sz val="11.0"/>
      <color theme="1"/>
      <name val="Calibri"/>
    </font>
    <font>
      <b/>
      <sz val="11.0"/>
      <color rgb="FF5B2A86"/>
      <name val="Calibri"/>
      <scheme val="minor"/>
    </font>
    <font>
      <sz val="10.0"/>
      <color theme="1"/>
      <name val="Calibri"/>
      <scheme val="minor"/>
    </font>
    <font>
      <b/>
      <sz val="12.0"/>
      <color theme="1"/>
      <name val="Calibri"/>
      <scheme val="minor"/>
    </font>
    <font>
      <b/>
      <color rgb="FFFFFFFF"/>
      <name val="Calibri"/>
      <scheme val="minor"/>
    </font>
    <font>
      <color theme="1"/>
      <name val="Calibri"/>
      <scheme val="minor"/>
    </font>
    <font>
      <sz val="10.0"/>
      <color rgb="FF000000"/>
      <name val="Calibri"/>
    </font>
    <font>
      <sz val="9.0"/>
      <color theme="1"/>
      <name val="Calibri"/>
      <scheme val="minor"/>
    </font>
    <font>
      <b/>
      <sz val="10.0"/>
      <color rgb="FFB00020"/>
      <name val="Calibri"/>
      <scheme val="minor"/>
    </font>
    <font>
      <i/>
      <sz val="9.0"/>
      <color rgb="FF888888"/>
      <name val="Calibri"/>
      <scheme val="minor"/>
    </font>
    <font>
      <b/>
      <color theme="1"/>
      <name val="Calibri"/>
      <scheme val="minor"/>
    </font>
    <font>
      <sz val="10.0"/>
      <color rgb="FF000000"/>
      <name val="Consolas"/>
    </font>
    <font>
      <i/>
      <sz val="10.0"/>
      <color rgb="FF000000"/>
      <name val="Calibri"/>
    </font>
    <font>
      <b/>
      <sz val="11.0"/>
      <color rgb="FF5B2A86"/>
      <name val="Calibri"/>
    </font>
    <font>
      <b/>
      <sz val="13.0"/>
      <color rgb="FF548235"/>
      <name val="Calibri"/>
      <scheme val="minor"/>
    </font>
    <font>
      <b/>
      <sz val="12.0"/>
      <color rgb="FF5B2A86"/>
      <name val="Calibri"/>
      <scheme val="minor"/>
    </font>
  </fonts>
  <fills count="10">
    <fill>
      <patternFill patternType="none"/>
    </fill>
    <fill>
      <patternFill patternType="lightGray"/>
    </fill>
    <fill>
      <patternFill patternType="solid">
        <fgColor rgb="FF5B2A86"/>
        <bgColor rgb="FF5B2A86"/>
      </patternFill>
    </fill>
    <fill>
      <patternFill patternType="solid">
        <fgColor rgb="FF8E5BB5"/>
        <bgColor rgb="FF8E5BB5"/>
      </patternFill>
    </fill>
    <fill>
      <patternFill patternType="solid">
        <fgColor rgb="FFF1E9F7"/>
        <bgColor rgb="FFF1E9F7"/>
      </patternFill>
    </fill>
    <fill>
      <patternFill patternType="solid">
        <fgColor rgb="FFEDE4F5"/>
        <bgColor rgb="FFEDE4F5"/>
      </patternFill>
    </fill>
    <fill>
      <patternFill patternType="solid">
        <fgColor rgb="FFE1F0E4"/>
        <bgColor rgb="FFE1F0E4"/>
      </patternFill>
    </fill>
    <fill>
      <patternFill patternType="solid">
        <fgColor rgb="FFFFF3C4"/>
        <bgColor rgb="FFFFF3C4"/>
      </patternFill>
    </fill>
    <fill>
      <patternFill patternType="solid">
        <fgColor rgb="FFF7E0E0"/>
        <bgColor rgb="FFF7E0E0"/>
      </patternFill>
    </fill>
    <fill>
      <patternFill patternType="solid">
        <fgColor rgb="FFFBE9E7"/>
        <bgColor rgb="FFFBE9E7"/>
      </patternFill>
    </fill>
  </fills>
  <borders count="6">
    <border/>
    <border>
      <left/>
      <top/>
      <bottom/>
    </border>
    <border>
      <top/>
      <bottom/>
    </border>
    <border>
      <right/>
      <top/>
      <bottom/>
    </border>
    <border>
      <left/>
      <right/>
      <top/>
      <bottom/>
    </border>
    <border>
      <left style="thin">
        <color rgb="FFD9CCE6"/>
      </left>
      <right style="thin">
        <color rgb="FFD9CCE6"/>
      </right>
      <top style="thin">
        <color rgb="FFD9CCE6"/>
      </top>
      <bottom style="thin">
        <color rgb="FFD9CCE6"/>
      </bottom>
    </border>
  </borders>
  <cellStyleXfs count="1">
    <xf borderId="0" fillId="0" fontId="0" numFmtId="0" applyAlignment="1" applyFont="1"/>
  </cellStyleXfs>
  <cellXfs count="36">
    <xf borderId="0" fillId="0" fontId="0" numFmtId="0" xfId="0" applyAlignment="1" applyFont="1">
      <alignment readingOrder="0" shrinkToFit="0" vertical="bottom" wrapText="0"/>
    </xf>
    <xf borderId="1" fillId="2" fontId="1" numFmtId="0" xfId="0" applyBorder="1" applyFill="1" applyFont="1"/>
    <xf borderId="2" fillId="0" fontId="2" numFmtId="0" xfId="0" applyBorder="1" applyFont="1"/>
    <xf borderId="3" fillId="0" fontId="2" numFmtId="0" xfId="0" applyBorder="1" applyFont="1"/>
    <xf borderId="1" fillId="3" fontId="3" numFmtId="0" xfId="0" applyBorder="1" applyFill="1" applyFont="1"/>
    <xf borderId="0" fillId="0" fontId="4" numFmtId="0" xfId="0" applyAlignment="1" applyFont="1">
      <alignment shrinkToFit="0" vertical="top" wrapText="1"/>
    </xf>
    <xf borderId="4" fillId="4" fontId="5" numFmtId="0" xfId="0" applyBorder="1" applyFill="1" applyFont="1"/>
    <xf borderId="4" fillId="4" fontId="6" numFmtId="0" xfId="0" applyBorder="1" applyFont="1"/>
    <xf borderId="0" fillId="0" fontId="7" numFmtId="0" xfId="0" applyFont="1"/>
    <xf borderId="0" fillId="0" fontId="8" numFmtId="0" xfId="0" applyAlignment="1" applyFont="1">
      <alignment shrinkToFit="0" vertical="top" wrapText="1"/>
    </xf>
    <xf borderId="1" fillId="5" fontId="4" numFmtId="0" xfId="0" applyAlignment="1" applyBorder="1" applyFill="1" applyFont="1">
      <alignment shrinkToFit="0" vertical="top" wrapText="1"/>
    </xf>
    <xf borderId="0" fillId="0" fontId="9" numFmtId="0" xfId="0" applyFont="1"/>
    <xf borderId="0" fillId="0" fontId="0" numFmtId="0" xfId="0" applyFont="1"/>
    <xf borderId="4" fillId="2" fontId="10" numFmtId="0" xfId="0" applyBorder="1" applyFont="1"/>
    <xf borderId="0" fillId="0" fontId="11" numFmtId="0" xfId="0" applyFont="1"/>
    <xf borderId="0" fillId="0" fontId="12" numFmtId="0" xfId="0" applyAlignment="1" applyFont="1">
      <alignment shrinkToFit="0" vertical="top" wrapText="1"/>
    </xf>
    <xf borderId="0" fillId="0" fontId="5" numFmtId="0" xfId="0" applyFont="1"/>
    <xf borderId="5" fillId="6" fontId="13" numFmtId="0" xfId="0" applyBorder="1" applyFill="1" applyFont="1"/>
    <xf borderId="5" fillId="7" fontId="13" numFmtId="0" xfId="0" applyBorder="1" applyFill="1" applyFont="1"/>
    <xf borderId="5" fillId="8" fontId="13" numFmtId="0" xfId="0" applyBorder="1" applyFill="1" applyFont="1"/>
    <xf borderId="4" fillId="5" fontId="5" numFmtId="0" xfId="0" applyBorder="1" applyFont="1"/>
    <xf borderId="4" fillId="5" fontId="6" numFmtId="0" xfId="0" applyBorder="1" applyFont="1"/>
    <xf borderId="4" fillId="9" fontId="14" numFmtId="0" xfId="0" applyBorder="1" applyFill="1" applyFont="1"/>
    <xf borderId="4" fillId="9" fontId="6" numFmtId="0" xfId="0" applyBorder="1" applyFont="1"/>
    <xf borderId="1" fillId="4" fontId="5" numFmtId="0" xfId="0" applyBorder="1" applyFont="1"/>
    <xf borderId="4" fillId="2" fontId="10" numFmtId="0" xfId="0" applyAlignment="1" applyBorder="1" applyFont="1">
      <alignment shrinkToFit="0" vertical="center" wrapText="1"/>
    </xf>
    <xf borderId="0" fillId="0" fontId="6" numFmtId="0" xfId="0" applyAlignment="1" applyFont="1">
      <alignment shrinkToFit="0" vertical="top" wrapText="1"/>
    </xf>
    <xf borderId="0" fillId="0" fontId="15" numFmtId="0" xfId="0" applyAlignment="1" applyFont="1">
      <alignment shrinkToFit="0" vertical="top" wrapText="1"/>
    </xf>
    <xf borderId="5" fillId="7" fontId="6" numFmtId="0" xfId="0" applyBorder="1" applyFont="1"/>
    <xf borderId="0" fillId="0" fontId="16" numFmtId="0" xfId="0" applyFont="1"/>
    <xf quotePrefix="1" borderId="1" fillId="5" fontId="17" numFmtId="0" xfId="0" applyAlignment="1" applyBorder="1" applyFont="1">
      <alignment shrinkToFit="0" vertical="top" wrapText="1"/>
    </xf>
    <xf borderId="0" fillId="0" fontId="18" numFmtId="0" xfId="0" applyAlignment="1" applyFont="1">
      <alignment shrinkToFit="0" vertical="top" wrapText="1"/>
    </xf>
    <xf borderId="0" fillId="0" fontId="19" numFmtId="0" xfId="0" applyAlignment="1" applyFont="1">
      <alignment shrinkToFit="0" vertical="top" wrapText="1"/>
    </xf>
    <xf borderId="0" fillId="0" fontId="0" numFmtId="0" xfId="0" applyAlignment="1" applyFont="1">
      <alignment shrinkToFit="0" vertical="center" wrapText="1"/>
    </xf>
    <xf borderId="0" fillId="0" fontId="20" numFmtId="0" xfId="0" applyFont="1"/>
    <xf borderId="0" fillId="0" fontId="2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20</xdr:row>
      <xdr:rowOff>0</xdr:rowOff>
    </xdr:from>
    <xdr:ext cx="3543300" cy="1943100"/>
    <xdr:pic>
      <xdr:nvPicPr>
        <xdr:cNvPr descr="Picture"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20</xdr:row>
      <xdr:rowOff>0</xdr:rowOff>
    </xdr:from>
    <xdr:ext cx="3543300" cy="1943100"/>
    <xdr:pic>
      <xdr:nvPicPr>
        <xdr:cNvPr descr="Picture" id="0" name="image4.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20</xdr:row>
      <xdr:rowOff>0</xdr:rowOff>
    </xdr:from>
    <xdr:ext cx="3543300" cy="1943100"/>
    <xdr:pic>
      <xdr:nvPicPr>
        <xdr:cNvPr descr="Picture"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21</xdr:row>
      <xdr:rowOff>0</xdr:rowOff>
    </xdr:from>
    <xdr:ext cx="3543300" cy="1943100"/>
    <xdr:pic>
      <xdr:nvPicPr>
        <xdr:cNvPr descr="Picture" id="0" name="image3.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B2A86"/>
    <pageSetUpPr fitToPage="1"/>
  </sheetPr>
  <sheetViews>
    <sheetView workbookViewId="0"/>
  </sheetViews>
  <sheetFormatPr customHeight="1" defaultColWidth="14.43" defaultRowHeight="15.0"/>
  <cols>
    <col customWidth="1" min="1" max="1" width="12.0"/>
    <col customWidth="1" min="2" max="2" width="3.0"/>
    <col customWidth="1" min="3" max="7" width="12.0"/>
    <col customWidth="1" min="8" max="8" width="13.0"/>
    <col customWidth="1" min="9" max="26" width="8.71"/>
  </cols>
  <sheetData>
    <row r="1" ht="25.5" customHeight="1">
      <c r="A1" s="1" t="s">
        <v>0</v>
      </c>
      <c r="B1" s="2"/>
      <c r="C1" s="2"/>
      <c r="D1" s="2"/>
      <c r="E1" s="2"/>
      <c r="F1" s="2"/>
      <c r="G1" s="2"/>
      <c r="H1" s="3"/>
    </row>
    <row r="2">
      <c r="A2" s="4" t="s">
        <v>1</v>
      </c>
      <c r="B2" s="2"/>
      <c r="C2" s="2"/>
      <c r="D2" s="2"/>
      <c r="E2" s="2"/>
      <c r="F2" s="2"/>
      <c r="G2" s="2"/>
      <c r="H2" s="3"/>
    </row>
    <row r="4" ht="51.0" customHeight="1">
      <c r="A4" s="5" t="s">
        <v>2</v>
      </c>
    </row>
    <row r="6" ht="15.75" customHeight="1">
      <c r="A6" s="6" t="s">
        <v>3</v>
      </c>
      <c r="B6" s="7"/>
      <c r="C6" s="7"/>
      <c r="D6" s="7"/>
      <c r="E6" s="7"/>
      <c r="F6" s="7"/>
      <c r="G6" s="7"/>
      <c r="H6" s="7"/>
    </row>
    <row r="7" ht="48.0" customHeight="1">
      <c r="A7" s="8" t="s">
        <v>4</v>
      </c>
      <c r="C7" s="9" t="s">
        <v>5</v>
      </c>
    </row>
    <row r="9" ht="48.0" customHeight="1">
      <c r="A9" s="8" t="s">
        <v>6</v>
      </c>
      <c r="C9" s="9" t="s">
        <v>7</v>
      </c>
    </row>
    <row r="11" ht="51.0" customHeight="1">
      <c r="A11" s="10" t="s">
        <v>8</v>
      </c>
      <c r="B11" s="2"/>
      <c r="C11" s="2"/>
      <c r="D11" s="2"/>
      <c r="E11" s="2"/>
      <c r="F11" s="2"/>
      <c r="G11" s="2"/>
      <c r="H11" s="3"/>
    </row>
    <row r="13">
      <c r="A13" s="11" t="s">
        <v>9</v>
      </c>
    </row>
    <row r="14" ht="21.0" customHeight="1">
      <c r="A14" s="12" t="s">
        <v>10</v>
      </c>
    </row>
    <row r="15" ht="21.0" customHeight="1">
      <c r="A15" s="12" t="s">
        <v>11</v>
      </c>
    </row>
    <row r="16" ht="36.0" customHeight="1">
      <c r="A16" s="12" t="s">
        <v>12</v>
      </c>
    </row>
    <row r="17" ht="21.0" customHeight="1">
      <c r="A17" s="12" t="s">
        <v>13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A15:H15"/>
    <mergeCell ref="A16:H16"/>
    <mergeCell ref="A17:H17"/>
    <mergeCell ref="A1:H1"/>
    <mergeCell ref="A2:H2"/>
    <mergeCell ref="A4:H4"/>
    <mergeCell ref="C7:H7"/>
    <mergeCell ref="C9:H9"/>
    <mergeCell ref="A11:H11"/>
    <mergeCell ref="A14:H14"/>
  </mergeCells>
  <printOptions/>
  <pageMargins bottom="1.0" footer="0.0" header="0.0" left="0.75" right="0.75" top="1.0"/>
  <pageSetup fitToHeight="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B7E96"/>
    <pageSetUpPr fitToPage="1"/>
  </sheetPr>
  <sheetViews>
    <sheetView workbookViewId="0">
      <pane ySplit="4.0" topLeftCell="A5" activePane="bottomLeft" state="frozen"/>
      <selection activeCell="B6" sqref="B6" pane="bottomLeft"/>
    </sheetView>
  </sheetViews>
  <sheetFormatPr customHeight="1" defaultColWidth="14.43" defaultRowHeight="15.0"/>
  <cols>
    <col customWidth="1" min="1" max="1" width="12.0"/>
    <col customWidth="1" min="2" max="2" width="10.0"/>
    <col customWidth="1" min="3" max="3" width="12.0"/>
    <col customWidth="1" min="4" max="6" width="2.0"/>
    <col customWidth="1" min="7" max="26" width="8.71"/>
  </cols>
  <sheetData>
    <row r="1" ht="25.5" customHeight="1">
      <c r="A1" s="1" t="s">
        <v>14</v>
      </c>
      <c r="B1" s="2"/>
      <c r="C1" s="2"/>
      <c r="D1" s="2"/>
      <c r="E1" s="2"/>
      <c r="F1" s="3"/>
    </row>
    <row r="2">
      <c r="A2" s="4" t="s">
        <v>15</v>
      </c>
      <c r="B2" s="2"/>
      <c r="C2" s="2"/>
      <c r="D2" s="2"/>
      <c r="E2" s="2"/>
      <c r="F2" s="3"/>
    </row>
    <row r="4">
      <c r="A4" s="13" t="s">
        <v>16</v>
      </c>
      <c r="B4" s="13" t="s">
        <v>17</v>
      </c>
      <c r="C4" s="13" t="s">
        <v>18</v>
      </c>
    </row>
    <row r="5">
      <c r="A5" s="14" t="s">
        <v>19</v>
      </c>
      <c r="B5" s="14" t="s">
        <v>20</v>
      </c>
      <c r="C5" s="14" t="s">
        <v>21</v>
      </c>
    </row>
    <row r="6">
      <c r="A6" s="14" t="s">
        <v>22</v>
      </c>
      <c r="B6" s="14" t="s">
        <v>23</v>
      </c>
      <c r="C6" s="14" t="s">
        <v>24</v>
      </c>
    </row>
    <row r="7">
      <c r="A7" s="14" t="s">
        <v>25</v>
      </c>
      <c r="B7" s="14" t="s">
        <v>26</v>
      </c>
      <c r="C7" s="14" t="s">
        <v>27</v>
      </c>
    </row>
    <row r="8">
      <c r="A8" s="14" t="s">
        <v>28</v>
      </c>
      <c r="B8" s="14" t="s">
        <v>29</v>
      </c>
      <c r="C8" s="14" t="s">
        <v>30</v>
      </c>
    </row>
    <row r="9">
      <c r="A9" s="14" t="s">
        <v>31</v>
      </c>
      <c r="B9" s="14" t="s">
        <v>32</v>
      </c>
      <c r="C9" s="14" t="s">
        <v>33</v>
      </c>
    </row>
    <row r="12" ht="61.5" customHeight="1">
      <c r="A12" s="15" t="s">
        <v>34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F1"/>
    <mergeCell ref="A2:F2"/>
    <mergeCell ref="A12:F12"/>
  </mergeCells>
  <printOptions/>
  <pageMargins bottom="1.0" footer="0.0" header="0.0" left="0.75" right="0.75" top="1.0"/>
  <pageSetup fitToHeight="0"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B7E96"/>
    <pageSetUpPr fitToPage="1"/>
  </sheetPr>
  <sheetViews>
    <sheetView workbookViewId="0">
      <pane ySplit="4.0" topLeftCell="A5" activePane="bottomLeft" state="frozen"/>
      <selection activeCell="B6" sqref="B6" pane="bottomLeft"/>
    </sheetView>
  </sheetViews>
  <sheetFormatPr customHeight="1" defaultColWidth="14.43" defaultRowHeight="15.0"/>
  <cols>
    <col customWidth="1" min="1" max="1" width="10.0"/>
    <col customWidth="1" min="2" max="2" width="12.0"/>
    <col customWidth="1" min="3" max="3" width="10.0"/>
    <col customWidth="1" min="4" max="6" width="2.0"/>
    <col customWidth="1" min="7" max="26" width="8.71"/>
  </cols>
  <sheetData>
    <row r="1" ht="25.5" customHeight="1">
      <c r="A1" s="1" t="s">
        <v>35</v>
      </c>
      <c r="B1" s="2"/>
      <c r="C1" s="2"/>
      <c r="D1" s="2"/>
      <c r="E1" s="2"/>
      <c r="F1" s="3"/>
    </row>
    <row r="2">
      <c r="A2" s="4" t="s">
        <v>36</v>
      </c>
      <c r="B2" s="2"/>
      <c r="C2" s="2"/>
      <c r="D2" s="2"/>
      <c r="E2" s="2"/>
      <c r="F2" s="3"/>
    </row>
    <row r="4">
      <c r="A4" s="13" t="s">
        <v>37</v>
      </c>
      <c r="B4" s="13" t="s">
        <v>16</v>
      </c>
      <c r="C4" s="13" t="s">
        <v>38</v>
      </c>
    </row>
    <row r="5">
      <c r="A5" s="14" t="s">
        <v>39</v>
      </c>
      <c r="B5" s="14" t="s">
        <v>19</v>
      </c>
      <c r="C5" s="14">
        <v>50.0</v>
      </c>
    </row>
    <row r="6">
      <c r="A6" s="14" t="s">
        <v>40</v>
      </c>
      <c r="B6" s="14" t="s">
        <v>19</v>
      </c>
      <c r="C6" s="14">
        <v>30.0</v>
      </c>
    </row>
    <row r="7">
      <c r="A7" s="14" t="s">
        <v>41</v>
      </c>
      <c r="B7" s="14" t="s">
        <v>22</v>
      </c>
      <c r="C7" s="14">
        <v>80.0</v>
      </c>
    </row>
    <row r="8">
      <c r="A8" s="14" t="s">
        <v>42</v>
      </c>
      <c r="B8" s="14" t="s">
        <v>25</v>
      </c>
      <c r="C8" s="14">
        <v>20.0</v>
      </c>
    </row>
    <row r="9">
      <c r="A9" s="14" t="s">
        <v>43</v>
      </c>
      <c r="B9" s="14" t="s">
        <v>44</v>
      </c>
      <c r="C9" s="14">
        <v>60.0</v>
      </c>
    </row>
    <row r="12" ht="75.75" customHeight="1">
      <c r="A12" s="15" t="s">
        <v>45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F1"/>
    <mergeCell ref="A2:F2"/>
    <mergeCell ref="A12:F12"/>
  </mergeCells>
  <printOptions/>
  <pageMargins bottom="1.0" footer="0.0" header="0.0" left="0.75" right="0.75" top="1.0"/>
  <pageSetup fitToHeight="0"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8B8B"/>
    <pageSetUpPr fitToPage="1"/>
  </sheetPr>
  <sheetViews>
    <sheetView workbookViewId="0"/>
  </sheetViews>
  <sheetFormatPr customHeight="1" defaultColWidth="14.43" defaultRowHeight="15.0"/>
  <cols>
    <col customWidth="1" min="1" max="1" width="2.0"/>
    <col customWidth="1" min="2" max="2" width="18.0"/>
    <col customWidth="1" min="3" max="4" width="3.0"/>
    <col customWidth="1" min="5" max="8" width="14.0"/>
    <col customWidth="1" min="9" max="26" width="8.71"/>
  </cols>
  <sheetData>
    <row r="1" ht="25.5" customHeight="1">
      <c r="A1" s="1" t="s">
        <v>46</v>
      </c>
      <c r="B1" s="2"/>
      <c r="C1" s="2"/>
      <c r="D1" s="2"/>
      <c r="E1" s="2"/>
      <c r="F1" s="2"/>
      <c r="G1" s="2"/>
      <c r="H1" s="3"/>
    </row>
    <row r="2">
      <c r="A2" s="4" t="s">
        <v>47</v>
      </c>
      <c r="B2" s="2"/>
      <c r="C2" s="2"/>
      <c r="D2" s="2"/>
      <c r="E2" s="2"/>
      <c r="F2" s="2"/>
      <c r="G2" s="2"/>
      <c r="H2" s="3"/>
    </row>
    <row r="4" ht="15.75" customHeight="1">
      <c r="A4" s="6" t="s">
        <v>48</v>
      </c>
      <c r="B4" s="7"/>
      <c r="C4" s="7"/>
      <c r="D4" s="7"/>
      <c r="E4" s="7"/>
      <c r="F4" s="7"/>
      <c r="G4" s="7"/>
      <c r="H4" s="7"/>
    </row>
    <row r="5" ht="81.0" customHeight="1">
      <c r="A5" s="5" t="s">
        <v>49</v>
      </c>
    </row>
    <row r="7" ht="15.75" customHeight="1">
      <c r="A7" s="6" t="s">
        <v>50</v>
      </c>
      <c r="B7" s="7"/>
      <c r="C7" s="7"/>
      <c r="D7" s="7"/>
      <c r="E7" s="7"/>
      <c r="F7" s="7"/>
      <c r="G7" s="7"/>
      <c r="H7" s="7"/>
    </row>
    <row r="8" ht="25.5" customHeight="1">
      <c r="B8" s="16" t="s">
        <v>51</v>
      </c>
      <c r="E8" s="16" t="s">
        <v>52</v>
      </c>
    </row>
    <row r="9" ht="25.5" customHeight="1">
      <c r="B9" s="17" t="s">
        <v>53</v>
      </c>
      <c r="E9" s="17" t="s">
        <v>54</v>
      </c>
    </row>
    <row r="10" ht="25.5" customHeight="1">
      <c r="B10" s="17" t="s">
        <v>55</v>
      </c>
      <c r="E10" s="17" t="s">
        <v>56</v>
      </c>
    </row>
    <row r="11" ht="25.5" customHeight="1">
      <c r="B11" s="17" t="s">
        <v>57</v>
      </c>
      <c r="E11" s="17" t="s">
        <v>58</v>
      </c>
    </row>
    <row r="12" ht="25.5" customHeight="1">
      <c r="B12" s="18" t="s">
        <v>59</v>
      </c>
      <c r="E12" s="17" t="s">
        <v>60</v>
      </c>
    </row>
    <row r="13" ht="25.5" customHeight="1">
      <c r="B13" s="18" t="s">
        <v>61</v>
      </c>
      <c r="E13" s="19" t="s">
        <v>62</v>
      </c>
    </row>
    <row r="15" ht="15.75" customHeight="1">
      <c r="A15" s="20" t="s">
        <v>63</v>
      </c>
      <c r="B15" s="21"/>
      <c r="C15" s="21"/>
      <c r="D15" s="21"/>
      <c r="E15" s="21"/>
      <c r="F15" s="21"/>
      <c r="G15" s="21"/>
      <c r="H15" s="21"/>
    </row>
    <row r="16" ht="51.0" customHeight="1">
      <c r="A16" s="10" t="s">
        <v>64</v>
      </c>
      <c r="B16" s="2"/>
      <c r="C16" s="2"/>
      <c r="D16" s="2"/>
      <c r="E16" s="2"/>
      <c r="F16" s="2"/>
      <c r="G16" s="2"/>
      <c r="H16" s="3"/>
    </row>
    <row r="18" ht="15.75" customHeight="1">
      <c r="A18" s="22" t="s">
        <v>65</v>
      </c>
      <c r="B18" s="23"/>
      <c r="C18" s="23"/>
      <c r="D18" s="23"/>
      <c r="E18" s="23"/>
      <c r="F18" s="23"/>
      <c r="G18" s="23"/>
      <c r="H18" s="23"/>
    </row>
    <row r="19" ht="48.0" customHeight="1">
      <c r="A19" s="15" t="s">
        <v>66</v>
      </c>
    </row>
    <row r="20">
      <c r="A20" s="24" t="s">
        <v>67</v>
      </c>
      <c r="B20" s="2"/>
      <c r="C20" s="2"/>
      <c r="D20" s="2"/>
      <c r="E20" s="2"/>
      <c r="F20" s="2"/>
      <c r="G20" s="2"/>
      <c r="H20" s="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H1"/>
    <mergeCell ref="A2:H2"/>
    <mergeCell ref="A5:H5"/>
    <mergeCell ref="A16:H16"/>
    <mergeCell ref="A19:H19"/>
    <mergeCell ref="A20:H20"/>
  </mergeCells>
  <printOptions/>
  <pageMargins bottom="1.0" footer="0.0" header="0.0" left="0.75" right="0.75" top="1.0"/>
  <pageSetup fitToHeight="0"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8B8B"/>
    <pageSetUpPr fitToPage="1"/>
  </sheetPr>
  <sheetViews>
    <sheetView workbookViewId="0"/>
  </sheetViews>
  <sheetFormatPr customHeight="1" defaultColWidth="14.43" defaultRowHeight="15.0"/>
  <cols>
    <col customWidth="1" min="1" max="1" width="2.0"/>
    <col customWidth="1" min="2" max="2" width="18.0"/>
    <col customWidth="1" min="3" max="4" width="3.0"/>
    <col customWidth="1" min="5" max="8" width="14.0"/>
    <col customWidth="1" min="9" max="26" width="8.71"/>
  </cols>
  <sheetData>
    <row r="1" ht="25.5" customHeight="1">
      <c r="A1" s="1" t="s">
        <v>68</v>
      </c>
      <c r="B1" s="2"/>
      <c r="C1" s="2"/>
      <c r="D1" s="2"/>
      <c r="E1" s="2"/>
      <c r="F1" s="2"/>
      <c r="G1" s="2"/>
      <c r="H1" s="3"/>
    </row>
    <row r="2">
      <c r="A2" s="4" t="s">
        <v>69</v>
      </c>
      <c r="B2" s="2"/>
      <c r="C2" s="2"/>
      <c r="D2" s="2"/>
      <c r="E2" s="2"/>
      <c r="F2" s="2"/>
      <c r="G2" s="2"/>
      <c r="H2" s="3"/>
    </row>
    <row r="4" ht="15.75" customHeight="1">
      <c r="A4" s="6" t="s">
        <v>48</v>
      </c>
      <c r="B4" s="7"/>
      <c r="C4" s="7"/>
      <c r="D4" s="7"/>
      <c r="E4" s="7"/>
      <c r="F4" s="7"/>
      <c r="G4" s="7"/>
      <c r="H4" s="7"/>
    </row>
    <row r="5" ht="51.0" customHeight="1">
      <c r="A5" s="5" t="s">
        <v>70</v>
      </c>
    </row>
    <row r="7" ht="15.75" customHeight="1">
      <c r="A7" s="6" t="s">
        <v>50</v>
      </c>
      <c r="B7" s="7"/>
      <c r="C7" s="7"/>
      <c r="D7" s="7"/>
      <c r="E7" s="7"/>
      <c r="F7" s="7"/>
      <c r="G7" s="7"/>
      <c r="H7" s="7"/>
    </row>
    <row r="8" ht="25.5" customHeight="1">
      <c r="B8" s="16" t="s">
        <v>51</v>
      </c>
      <c r="E8" s="16" t="s">
        <v>52</v>
      </c>
    </row>
    <row r="9" ht="25.5" customHeight="1">
      <c r="B9" s="17" t="s">
        <v>53</v>
      </c>
      <c r="E9" s="17" t="s">
        <v>54</v>
      </c>
    </row>
    <row r="10" ht="25.5" customHeight="1">
      <c r="B10" s="17" t="s">
        <v>55</v>
      </c>
      <c r="E10" s="17" t="s">
        <v>56</v>
      </c>
    </row>
    <row r="11" ht="25.5" customHeight="1">
      <c r="B11" s="17" t="s">
        <v>57</v>
      </c>
      <c r="E11" s="17" t="s">
        <v>58</v>
      </c>
    </row>
    <row r="12" ht="25.5" customHeight="1">
      <c r="B12" s="19" t="s">
        <v>59</v>
      </c>
      <c r="E12" s="17" t="s">
        <v>60</v>
      </c>
    </row>
    <row r="13" ht="25.5" customHeight="1">
      <c r="B13" s="19" t="s">
        <v>61</v>
      </c>
      <c r="E13" s="19" t="s">
        <v>62</v>
      </c>
    </row>
    <row r="15" ht="15.75" customHeight="1">
      <c r="A15" s="20" t="s">
        <v>63</v>
      </c>
      <c r="B15" s="21"/>
      <c r="C15" s="21"/>
      <c r="D15" s="21"/>
      <c r="E15" s="21"/>
      <c r="F15" s="21"/>
      <c r="G15" s="21"/>
      <c r="H15" s="21"/>
    </row>
    <row r="16" ht="51.0" customHeight="1">
      <c r="A16" s="10" t="s">
        <v>71</v>
      </c>
      <c r="B16" s="2"/>
      <c r="C16" s="2"/>
      <c r="D16" s="2"/>
      <c r="E16" s="2"/>
      <c r="F16" s="2"/>
      <c r="G16" s="2"/>
      <c r="H16" s="3"/>
    </row>
    <row r="18" ht="15.75" customHeight="1">
      <c r="A18" s="22" t="s">
        <v>65</v>
      </c>
      <c r="B18" s="23"/>
      <c r="C18" s="23"/>
      <c r="D18" s="23"/>
      <c r="E18" s="23"/>
      <c r="F18" s="23"/>
      <c r="G18" s="23"/>
      <c r="H18" s="23"/>
    </row>
    <row r="19" ht="48.0" customHeight="1">
      <c r="A19" s="15" t="s">
        <v>72</v>
      </c>
    </row>
    <row r="20">
      <c r="A20" s="24" t="s">
        <v>67</v>
      </c>
      <c r="B20" s="2"/>
      <c r="C20" s="2"/>
      <c r="D20" s="2"/>
      <c r="E20" s="2"/>
      <c r="F20" s="2"/>
      <c r="G20" s="2"/>
      <c r="H20" s="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H1"/>
    <mergeCell ref="A2:H2"/>
    <mergeCell ref="A5:H5"/>
    <mergeCell ref="A16:H16"/>
    <mergeCell ref="A19:H19"/>
    <mergeCell ref="A20:H20"/>
  </mergeCells>
  <printOptions/>
  <pageMargins bottom="1.0" footer="0.0" header="0.0" left="0.75" right="0.75" top="1.0"/>
  <pageSetup fitToHeight="0"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8B8B"/>
    <pageSetUpPr fitToPage="1"/>
  </sheetPr>
  <sheetViews>
    <sheetView workbookViewId="0"/>
  </sheetViews>
  <sheetFormatPr customHeight="1" defaultColWidth="14.43" defaultRowHeight="15.0"/>
  <cols>
    <col customWidth="1" min="1" max="1" width="2.0"/>
    <col customWidth="1" min="2" max="2" width="18.0"/>
    <col customWidth="1" min="3" max="4" width="3.0"/>
    <col customWidth="1" min="5" max="8" width="14.0"/>
    <col customWidth="1" min="9" max="26" width="8.71"/>
  </cols>
  <sheetData>
    <row r="1" ht="25.5" customHeight="1">
      <c r="A1" s="1" t="s">
        <v>73</v>
      </c>
      <c r="B1" s="2"/>
      <c r="C1" s="2"/>
      <c r="D1" s="2"/>
      <c r="E1" s="2"/>
      <c r="F1" s="2"/>
      <c r="G1" s="2"/>
      <c r="H1" s="3"/>
    </row>
    <row r="2">
      <c r="A2" s="4" t="s">
        <v>74</v>
      </c>
      <c r="B2" s="2"/>
      <c r="C2" s="2"/>
      <c r="D2" s="2"/>
      <c r="E2" s="2"/>
      <c r="F2" s="2"/>
      <c r="G2" s="2"/>
      <c r="H2" s="3"/>
    </row>
    <row r="4" ht="15.75" customHeight="1">
      <c r="A4" s="6" t="s">
        <v>48</v>
      </c>
      <c r="B4" s="7"/>
      <c r="C4" s="7"/>
      <c r="D4" s="7"/>
      <c r="E4" s="7"/>
      <c r="F4" s="7"/>
      <c r="G4" s="7"/>
      <c r="H4" s="7"/>
    </row>
    <row r="5" ht="66.0" customHeight="1">
      <c r="A5" s="5" t="s">
        <v>75</v>
      </c>
    </row>
    <row r="7" ht="15.75" customHeight="1">
      <c r="A7" s="6" t="s">
        <v>50</v>
      </c>
      <c r="B7" s="7"/>
      <c r="C7" s="7"/>
      <c r="D7" s="7"/>
      <c r="E7" s="7"/>
      <c r="F7" s="7"/>
      <c r="G7" s="7"/>
      <c r="H7" s="7"/>
    </row>
    <row r="8" ht="25.5" customHeight="1">
      <c r="B8" s="16" t="s">
        <v>51</v>
      </c>
      <c r="E8" s="16" t="s">
        <v>52</v>
      </c>
    </row>
    <row r="9" ht="25.5" customHeight="1">
      <c r="B9" s="17" t="s">
        <v>53</v>
      </c>
      <c r="E9" s="17" t="s">
        <v>54</v>
      </c>
    </row>
    <row r="10" ht="25.5" customHeight="1">
      <c r="B10" s="17" t="s">
        <v>55</v>
      </c>
      <c r="E10" s="17" t="s">
        <v>56</v>
      </c>
    </row>
    <row r="11" ht="25.5" customHeight="1">
      <c r="B11" s="17" t="s">
        <v>57</v>
      </c>
      <c r="E11" s="17" t="s">
        <v>58</v>
      </c>
    </row>
    <row r="12" ht="25.5" customHeight="1">
      <c r="B12" s="18" t="s">
        <v>59</v>
      </c>
      <c r="E12" s="17" t="s">
        <v>60</v>
      </c>
    </row>
    <row r="13" ht="25.5" customHeight="1">
      <c r="B13" s="18" t="s">
        <v>61</v>
      </c>
      <c r="E13" s="18" t="s">
        <v>62</v>
      </c>
    </row>
    <row r="15" ht="15.75" customHeight="1">
      <c r="A15" s="20" t="s">
        <v>63</v>
      </c>
      <c r="B15" s="21"/>
      <c r="C15" s="21"/>
      <c r="D15" s="21"/>
      <c r="E15" s="21"/>
      <c r="F15" s="21"/>
      <c r="G15" s="21"/>
      <c r="H15" s="21"/>
    </row>
    <row r="16" ht="51.0" customHeight="1">
      <c r="A16" s="10" t="s">
        <v>76</v>
      </c>
      <c r="B16" s="2"/>
      <c r="C16" s="2"/>
      <c r="D16" s="2"/>
      <c r="E16" s="2"/>
      <c r="F16" s="2"/>
      <c r="G16" s="2"/>
      <c r="H16" s="3"/>
    </row>
    <row r="18" ht="15.75" customHeight="1">
      <c r="A18" s="22" t="s">
        <v>65</v>
      </c>
      <c r="B18" s="23"/>
      <c r="C18" s="23"/>
      <c r="D18" s="23"/>
      <c r="E18" s="23"/>
      <c r="F18" s="23"/>
      <c r="G18" s="23"/>
      <c r="H18" s="23"/>
    </row>
    <row r="19" ht="48.0" customHeight="1">
      <c r="A19" s="15" t="s">
        <v>77</v>
      </c>
    </row>
    <row r="20">
      <c r="A20" s="24" t="s">
        <v>67</v>
      </c>
      <c r="B20" s="2"/>
      <c r="C20" s="2"/>
      <c r="D20" s="2"/>
      <c r="E20" s="2"/>
      <c r="F20" s="2"/>
      <c r="G20" s="2"/>
      <c r="H20" s="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H1"/>
    <mergeCell ref="A2:H2"/>
    <mergeCell ref="A5:H5"/>
    <mergeCell ref="A16:H16"/>
    <mergeCell ref="A19:H19"/>
    <mergeCell ref="A20:H20"/>
  </mergeCells>
  <printOptions/>
  <pageMargins bottom="1.0" footer="0.0" header="0.0" left="0.75" right="0.75" top="1.0"/>
  <pageSetup fitToHeight="0"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8B8B"/>
    <pageSetUpPr fitToPage="1"/>
  </sheetPr>
  <sheetViews>
    <sheetView workbookViewId="0"/>
  </sheetViews>
  <sheetFormatPr customHeight="1" defaultColWidth="14.43" defaultRowHeight="15.0"/>
  <cols>
    <col customWidth="1" min="1" max="1" width="2.0"/>
    <col customWidth="1" min="2" max="2" width="18.0"/>
    <col customWidth="1" min="3" max="4" width="3.0"/>
    <col customWidth="1" min="5" max="8" width="14.0"/>
    <col customWidth="1" min="9" max="26" width="8.71"/>
  </cols>
  <sheetData>
    <row r="1" ht="25.5" customHeight="1">
      <c r="A1" s="1" t="s">
        <v>78</v>
      </c>
      <c r="B1" s="2"/>
      <c r="C1" s="2"/>
      <c r="D1" s="2"/>
      <c r="E1" s="2"/>
      <c r="F1" s="2"/>
      <c r="G1" s="2"/>
      <c r="H1" s="3"/>
    </row>
    <row r="2">
      <c r="A2" s="4" t="s">
        <v>79</v>
      </c>
      <c r="B2" s="2"/>
      <c r="C2" s="2"/>
      <c r="D2" s="2"/>
      <c r="E2" s="2"/>
      <c r="F2" s="2"/>
      <c r="G2" s="2"/>
      <c r="H2" s="3"/>
    </row>
    <row r="4" ht="15.75" customHeight="1">
      <c r="A4" s="6" t="s">
        <v>48</v>
      </c>
      <c r="B4" s="7"/>
      <c r="C4" s="7"/>
      <c r="D4" s="7"/>
      <c r="E4" s="7"/>
      <c r="F4" s="7"/>
      <c r="G4" s="7"/>
      <c r="H4" s="7"/>
    </row>
    <row r="5" ht="81.0" customHeight="1">
      <c r="A5" s="5" t="s">
        <v>80</v>
      </c>
    </row>
    <row r="7" ht="15.75" customHeight="1">
      <c r="A7" s="6" t="s">
        <v>50</v>
      </c>
      <c r="B7" s="7"/>
      <c r="C7" s="7"/>
      <c r="D7" s="7"/>
      <c r="E7" s="7"/>
      <c r="F7" s="7"/>
      <c r="G7" s="7"/>
      <c r="H7" s="7"/>
    </row>
    <row r="8" ht="25.5" customHeight="1">
      <c r="B8" s="16" t="s">
        <v>51</v>
      </c>
      <c r="E8" s="16" t="s">
        <v>52</v>
      </c>
    </row>
    <row r="9" ht="25.5" customHeight="1">
      <c r="B9" s="19" t="s">
        <v>53</v>
      </c>
      <c r="E9" s="19" t="s">
        <v>54</v>
      </c>
    </row>
    <row r="10" ht="25.5" customHeight="1">
      <c r="B10" s="19" t="s">
        <v>55</v>
      </c>
      <c r="E10" s="19" t="s">
        <v>56</v>
      </c>
    </row>
    <row r="11" ht="25.5" customHeight="1">
      <c r="B11" s="19" t="s">
        <v>57</v>
      </c>
      <c r="E11" s="19" t="s">
        <v>58</v>
      </c>
    </row>
    <row r="12" ht="25.5" customHeight="1">
      <c r="B12" s="17" t="s">
        <v>59</v>
      </c>
      <c r="E12" s="19" t="s">
        <v>60</v>
      </c>
    </row>
    <row r="13" ht="25.5" customHeight="1">
      <c r="B13" s="17" t="s">
        <v>61</v>
      </c>
      <c r="E13" s="17" t="s">
        <v>62</v>
      </c>
    </row>
    <row r="15" ht="15.75" customHeight="1">
      <c r="A15" s="20" t="s">
        <v>63</v>
      </c>
      <c r="B15" s="21"/>
      <c r="C15" s="21"/>
      <c r="D15" s="21"/>
      <c r="E15" s="21"/>
      <c r="F15" s="21"/>
      <c r="G15" s="21"/>
      <c r="H15" s="21"/>
    </row>
    <row r="16" ht="51.0" customHeight="1">
      <c r="A16" s="10" t="s">
        <v>81</v>
      </c>
      <c r="B16" s="2"/>
      <c r="C16" s="2"/>
      <c r="D16" s="2"/>
      <c r="E16" s="2"/>
      <c r="F16" s="2"/>
      <c r="G16" s="2"/>
      <c r="H16" s="3"/>
    </row>
    <row r="18" ht="15.75" customHeight="1">
      <c r="A18" s="22" t="s">
        <v>65</v>
      </c>
      <c r="B18" s="23"/>
      <c r="C18" s="23"/>
      <c r="D18" s="23"/>
      <c r="E18" s="23"/>
      <c r="F18" s="23"/>
      <c r="G18" s="23"/>
      <c r="H18" s="23"/>
    </row>
    <row r="19" ht="48.0" customHeight="1">
      <c r="A19" s="15" t="s">
        <v>82</v>
      </c>
    </row>
    <row r="21" ht="15.75" customHeight="1">
      <c r="A21" s="24" t="s">
        <v>67</v>
      </c>
      <c r="B21" s="2"/>
      <c r="C21" s="2"/>
      <c r="D21" s="2"/>
      <c r="E21" s="2"/>
      <c r="F21" s="2"/>
      <c r="G21" s="2"/>
      <c r="H21" s="3"/>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H1"/>
    <mergeCell ref="A2:H2"/>
    <mergeCell ref="A5:H5"/>
    <mergeCell ref="A16:H16"/>
    <mergeCell ref="A19:H19"/>
    <mergeCell ref="A21:H21"/>
  </mergeCells>
  <printOptions/>
  <pageMargins bottom="1.0" footer="0.0" header="0.0" left="0.75" right="0.75" top="1.0"/>
  <pageSetup fitToHeight="0"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B4BA8"/>
    <pageSetUpPr fitToPage="1"/>
  </sheetPr>
  <sheetViews>
    <sheetView workbookViewId="0"/>
  </sheetViews>
  <sheetFormatPr customHeight="1" defaultColWidth="14.43" defaultRowHeight="15.0"/>
  <cols>
    <col customWidth="1" min="1" max="1" width="2.0"/>
    <col customWidth="1" min="2" max="2" width="46.0"/>
    <col customWidth="1" min="3" max="3" width="2.0"/>
    <col customWidth="1" min="4" max="4" width="30.0"/>
    <col customWidth="1" min="5" max="5" width="2.0"/>
    <col customWidth="1" min="6" max="6" width="15.0"/>
    <col customWidth="1" min="7" max="7" width="13.0"/>
    <col customWidth="1" min="8" max="26" width="8.71"/>
  </cols>
  <sheetData>
    <row r="1" ht="25.5" customHeight="1">
      <c r="A1" s="1" t="s">
        <v>83</v>
      </c>
      <c r="B1" s="2"/>
      <c r="C1" s="2"/>
      <c r="D1" s="2"/>
      <c r="E1" s="2"/>
      <c r="F1" s="2"/>
      <c r="G1" s="3"/>
    </row>
    <row r="2">
      <c r="A2" s="4" t="s">
        <v>84</v>
      </c>
      <c r="B2" s="2"/>
      <c r="C2" s="2"/>
      <c r="D2" s="2"/>
      <c r="E2" s="2"/>
      <c r="F2" s="2"/>
      <c r="G2" s="3"/>
    </row>
    <row r="4" ht="36.0" customHeight="1">
      <c r="A4" s="5" t="s">
        <v>85</v>
      </c>
    </row>
    <row r="6" ht="21.0" customHeight="1">
      <c r="B6" s="25" t="s">
        <v>86</v>
      </c>
      <c r="D6" s="25" t="s">
        <v>87</v>
      </c>
      <c r="F6" s="25" t="s">
        <v>88</v>
      </c>
      <c r="G6" s="25" t="s">
        <v>89</v>
      </c>
    </row>
    <row r="7" ht="36.0" customHeight="1">
      <c r="B7" s="26" t="s">
        <v>90</v>
      </c>
      <c r="D7" s="27" t="s">
        <v>91</v>
      </c>
      <c r="F7" s="28"/>
      <c r="G7" s="29" t="str">
        <f>IF(F7="","",IFERROR(IF(ABS(F7-6)&lt;0.01,"✓  Correct","✗  Try again"),"✗  Try again"))</f>
        <v/>
      </c>
    </row>
    <row r="8" ht="30.0" customHeight="1">
      <c r="B8" s="26" t="s">
        <v>92</v>
      </c>
      <c r="D8" s="27" t="s">
        <v>91</v>
      </c>
      <c r="F8" s="28"/>
      <c r="G8" s="29" t="str">
        <f>IF(F8="","",IFERROR(IF(ABS(F8-4)&lt;0.01,"✓  Correct","✗  Try again"),"✗  Try again"))</f>
        <v/>
      </c>
    </row>
    <row r="9" ht="30.0" customHeight="1">
      <c r="B9" s="26" t="s">
        <v>93</v>
      </c>
      <c r="D9" s="27" t="s">
        <v>91</v>
      </c>
      <c r="F9" s="28"/>
      <c r="G9" s="29" t="str">
        <f>IF(F9="","",IFERROR(IF(ABS(F9-7)&lt;0.01,"✓  Correct","✗  Try again"),"✗  Try again"))</f>
        <v/>
      </c>
    </row>
    <row r="10" ht="30.0" customHeight="1">
      <c r="B10" s="26" t="s">
        <v>94</v>
      </c>
      <c r="D10" s="27" t="s">
        <v>91</v>
      </c>
      <c r="F10" s="28"/>
      <c r="G10" s="29" t="str">
        <f>IF(F10="","",IFERROR(IF(ABS(F10-2)&lt;0.01,"✓  Correct","✗  Try again"),"✗  Try again"))</f>
        <v/>
      </c>
    </row>
    <row r="11" ht="36.0" customHeight="1">
      <c r="B11" s="26" t="s">
        <v>95</v>
      </c>
      <c r="D11" s="27" t="s">
        <v>91</v>
      </c>
      <c r="F11" s="28"/>
      <c r="G11" s="29" t="str">
        <f>IF(F11="","",IFERROR(IF(ABS(F11-1)&lt;0.01,"✓  Correct","✗  Try again"),"✗  Try again"))</f>
        <v/>
      </c>
    </row>
    <row r="12" ht="36.0" customHeight="1">
      <c r="B12" s="26" t="s">
        <v>96</v>
      </c>
      <c r="D12" s="27" t="s">
        <v>91</v>
      </c>
      <c r="F12" s="28"/>
      <c r="G12" s="29" t="str">
        <f>IF(F12="","",IFERROR(IF(ABS(F12-2)&lt;0.01,"✓  Correct","✗  Try again"),"✗  Try again"))</f>
        <v/>
      </c>
    </row>
    <row r="13" ht="36.0" customHeight="1">
      <c r="B13" s="26" t="s">
        <v>97</v>
      </c>
      <c r="D13" s="27" t="s">
        <v>98</v>
      </c>
      <c r="F13" s="28"/>
      <c r="G13" s="29" t="str">
        <f>IF(F13="","",IF(ISNUMBER(SEARCH("anti",F13)),"✓  Correct","✗  Try again"))</f>
        <v/>
      </c>
    </row>
    <row r="14" ht="36.0" customHeight="1">
      <c r="B14" s="26" t="s">
        <v>99</v>
      </c>
      <c r="D14" s="27" t="s">
        <v>100</v>
      </c>
      <c r="F14" s="28"/>
      <c r="G14" s="29" t="str">
        <f>IF(F14="","",IF(ISNUMBER(SEARCH("full outer",F14)),"✓  Correct","✗  Try again"))</f>
        <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G1"/>
    <mergeCell ref="A2:G2"/>
    <mergeCell ref="A4:G4"/>
  </mergeCells>
  <printOptions/>
  <pageMargins bottom="1.0" footer="0.0" header="0.0" left="0.75" right="0.75" top="1.0"/>
  <pageSetup fitToHeight="0"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F1D5E"/>
    <pageSetUpPr fitToPage="1"/>
  </sheetPr>
  <sheetViews>
    <sheetView workbookViewId="0"/>
  </sheetViews>
  <sheetFormatPr customHeight="1" defaultColWidth="14.43" defaultRowHeight="15.0"/>
  <cols>
    <col customWidth="1" min="1" max="1" width="2.0"/>
    <col customWidth="1" min="2" max="2" width="46.0"/>
    <col customWidth="1" min="3" max="3" width="2.0"/>
    <col customWidth="1" min="4" max="4" width="24.0"/>
    <col customWidth="1" min="5" max="5" width="2.0"/>
    <col customWidth="1" min="6" max="6" width="15.0"/>
    <col customWidth="1" min="7" max="7" width="13.0"/>
    <col customWidth="1" min="8" max="8" width="4.0"/>
    <col customWidth="1" min="9" max="26" width="8.71"/>
  </cols>
  <sheetData>
    <row r="1" ht="25.5" customHeight="1">
      <c r="A1" s="1" t="s">
        <v>101</v>
      </c>
      <c r="B1" s="2"/>
      <c r="C1" s="2"/>
      <c r="D1" s="2"/>
      <c r="E1" s="2"/>
      <c r="F1" s="2"/>
      <c r="G1" s="2"/>
      <c r="H1" s="3"/>
    </row>
    <row r="2">
      <c r="A2" s="4" t="s">
        <v>102</v>
      </c>
      <c r="B2" s="2"/>
      <c r="C2" s="2"/>
      <c r="D2" s="2"/>
      <c r="E2" s="2"/>
      <c r="F2" s="2"/>
      <c r="G2" s="2"/>
      <c r="H2" s="3"/>
    </row>
    <row r="4" ht="15.75" customHeight="1">
      <c r="A4" s="6" t="s">
        <v>48</v>
      </c>
      <c r="B4" s="7"/>
      <c r="C4" s="7"/>
      <c r="D4" s="7"/>
      <c r="E4" s="7"/>
      <c r="F4" s="7"/>
      <c r="G4" s="7"/>
      <c r="H4" s="7"/>
    </row>
    <row r="5" ht="51.0" customHeight="1">
      <c r="A5" s="5" t="s">
        <v>103</v>
      </c>
    </row>
    <row r="7" ht="15.75" customHeight="1">
      <c r="A7" s="6" t="s">
        <v>104</v>
      </c>
      <c r="B7" s="7"/>
      <c r="C7" s="7"/>
      <c r="D7" s="7"/>
      <c r="E7" s="7"/>
      <c r="F7" s="7"/>
      <c r="G7" s="7"/>
      <c r="H7" s="7"/>
    </row>
    <row r="8" ht="19.5" customHeight="1">
      <c r="A8" s="30" t="s">
        <v>105</v>
      </c>
      <c r="B8" s="2"/>
      <c r="C8" s="2"/>
      <c r="D8" s="2"/>
      <c r="E8" s="2"/>
      <c r="F8" s="2"/>
      <c r="G8" s="2"/>
      <c r="H8" s="3"/>
    </row>
    <row r="9" ht="19.5" customHeight="1">
      <c r="A9" s="31" t="s">
        <v>106</v>
      </c>
    </row>
    <row r="11" ht="15.75" customHeight="1">
      <c r="A11" s="22" t="s">
        <v>107</v>
      </c>
      <c r="B11" s="23"/>
      <c r="C11" s="23"/>
      <c r="D11" s="23"/>
      <c r="E11" s="23"/>
      <c r="F11" s="23"/>
      <c r="G11" s="23"/>
      <c r="H11" s="23"/>
    </row>
    <row r="12" ht="33.75" customHeight="1">
      <c r="A12" s="15" t="s">
        <v>108</v>
      </c>
    </row>
    <row r="14" ht="21.0" customHeight="1">
      <c r="A14" s="32" t="s">
        <v>109</v>
      </c>
    </row>
    <row r="15" ht="21.0" customHeight="1">
      <c r="B15" s="25" t="s">
        <v>86</v>
      </c>
      <c r="D15" s="25" t="s">
        <v>87</v>
      </c>
      <c r="F15" s="25" t="s">
        <v>88</v>
      </c>
      <c r="G15" s="25" t="s">
        <v>89</v>
      </c>
    </row>
    <row r="16" ht="36.0" customHeight="1">
      <c r="B16" s="26" t="s">
        <v>110</v>
      </c>
      <c r="F16" s="28"/>
      <c r="G16" s="29" t="str">
        <f>IF(F16="","",IFERROR(IF(ABS(F16-5)&lt;0.01,"✓  Correct","✗  Try again"),"✗  Try again"))</f>
        <v/>
      </c>
    </row>
    <row r="17" ht="36.0" customHeight="1">
      <c r="B17" s="26" t="s">
        <v>111</v>
      </c>
      <c r="F17" s="28"/>
      <c r="G17" s="29" t="str">
        <f>IF(F17="","",IFERROR(IF(ABS(F17-30)&lt;0.01,"✓  Correct","✗  Try again"),"✗  Try again"))</f>
        <v/>
      </c>
    </row>
    <row r="18" ht="36.0" customHeight="1">
      <c r="B18" s="26" t="s">
        <v>112</v>
      </c>
      <c r="F18" s="28"/>
      <c r="G18" s="29" t="str">
        <f>IF(F18="","",IF(ISNUMBER(SEARCH("append",F18)),"✓  Correct","✗  Try again"))</f>
        <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H1"/>
    <mergeCell ref="A2:H2"/>
    <mergeCell ref="A5:H5"/>
    <mergeCell ref="A8:H8"/>
    <mergeCell ref="A9:H9"/>
    <mergeCell ref="A12:H12"/>
    <mergeCell ref="A14:H14"/>
  </mergeCells>
  <printOptions/>
  <pageMargins bottom="1.0" footer="0.0" header="0.0" left="0.75" right="0.75" top="1.0"/>
  <pageSetup fitToHeight="0"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48235"/>
    <pageSetUpPr fitToPage="1"/>
  </sheetPr>
  <sheetViews>
    <sheetView workbookViewId="0"/>
  </sheetViews>
  <sheetFormatPr customHeight="1" defaultColWidth="14.43" defaultRowHeight="15.0"/>
  <cols>
    <col customWidth="1" min="1" max="1" width="18.0"/>
    <col customWidth="1" min="2" max="6" width="10.0"/>
    <col customWidth="1" min="7" max="26" width="8.71"/>
  </cols>
  <sheetData>
    <row r="1" ht="25.5" customHeight="1">
      <c r="A1" s="1" t="s">
        <v>113</v>
      </c>
      <c r="B1" s="2"/>
      <c r="C1" s="2"/>
      <c r="D1" s="2"/>
      <c r="E1" s="2"/>
      <c r="F1" s="3"/>
    </row>
    <row r="2">
      <c r="A2" s="4" t="s">
        <v>114</v>
      </c>
      <c r="B2" s="2"/>
      <c r="C2" s="2"/>
      <c r="D2" s="2"/>
      <c r="E2" s="2"/>
      <c r="F2" s="3"/>
    </row>
    <row r="4" ht="33.75" customHeight="1">
      <c r="A4" s="8" t="s">
        <v>115</v>
      </c>
      <c r="B4" s="9" t="s">
        <v>116</v>
      </c>
    </row>
    <row r="5" ht="19.5" customHeight="1">
      <c r="A5" s="8" t="s">
        <v>117</v>
      </c>
      <c r="B5" s="9" t="s">
        <v>118</v>
      </c>
    </row>
    <row r="6" ht="19.5" customHeight="1">
      <c r="A6" s="8" t="s">
        <v>119</v>
      </c>
      <c r="B6" s="9" t="s">
        <v>120</v>
      </c>
    </row>
    <row r="7" ht="33.75" customHeight="1">
      <c r="A7" s="8" t="s">
        <v>121</v>
      </c>
      <c r="B7" s="9" t="s">
        <v>122</v>
      </c>
    </row>
    <row r="8" ht="19.5" customHeight="1">
      <c r="A8" s="8" t="s">
        <v>123</v>
      </c>
      <c r="B8" s="9" t="s">
        <v>124</v>
      </c>
    </row>
    <row r="9" ht="19.5" customHeight="1">
      <c r="A9" s="8" t="s">
        <v>125</v>
      </c>
      <c r="B9" s="9" t="s">
        <v>126</v>
      </c>
    </row>
    <row r="10" ht="19.5" customHeight="1">
      <c r="A10" s="8" t="s">
        <v>127</v>
      </c>
      <c r="B10" s="9" t="s">
        <v>128</v>
      </c>
    </row>
    <row r="11" ht="19.5" customHeight="1">
      <c r="A11" s="8" t="s">
        <v>129</v>
      </c>
      <c r="B11" s="9" t="s">
        <v>130</v>
      </c>
    </row>
    <row r="12" ht="33.75" customHeight="1">
      <c r="A12" s="8" t="s">
        <v>131</v>
      </c>
      <c r="B12" s="9" t="s">
        <v>132</v>
      </c>
    </row>
    <row r="13" ht="19.5" customHeight="1">
      <c r="A13" s="8" t="s">
        <v>133</v>
      </c>
      <c r="B13" s="9" t="s">
        <v>134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B9:F9"/>
    <mergeCell ref="B10:F10"/>
    <mergeCell ref="B11:F11"/>
    <mergeCell ref="B12:F12"/>
    <mergeCell ref="B13:F13"/>
    <mergeCell ref="A1:F1"/>
    <mergeCell ref="A2:F2"/>
    <mergeCell ref="B4:F4"/>
    <mergeCell ref="B5:F5"/>
    <mergeCell ref="B6:F6"/>
    <mergeCell ref="B7:F7"/>
    <mergeCell ref="B8:F8"/>
  </mergeCells>
  <printOptions/>
  <pageMargins bottom="1.0" footer="0.0" header="0.0" left="0.75" right="0.75" top="1.0"/>
  <pageSetup fitToHeight="0"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F8F00"/>
    <pageSetUpPr fitToPage="1"/>
  </sheetPr>
  <sheetViews>
    <sheetView workbookViewId="0"/>
  </sheetViews>
  <sheetFormatPr customHeight="1" defaultColWidth="14.43" defaultRowHeight="15.0"/>
  <cols>
    <col customWidth="1" min="1" max="1" width="2.0"/>
    <col customWidth="1" min="2" max="2" width="6.0"/>
    <col customWidth="1" min="3" max="6" width="15.0"/>
    <col customWidth="1" min="7" max="7" width="5.0"/>
    <col customWidth="1" min="8" max="26" width="8.71"/>
  </cols>
  <sheetData>
    <row r="1" ht="25.5" customHeight="1">
      <c r="A1" s="1" t="s">
        <v>135</v>
      </c>
      <c r="B1" s="2"/>
      <c r="C1" s="2"/>
      <c r="D1" s="2"/>
      <c r="E1" s="2"/>
      <c r="F1" s="2"/>
      <c r="G1" s="3"/>
    </row>
    <row r="2">
      <c r="A2" s="4" t="s">
        <v>136</v>
      </c>
      <c r="B2" s="2"/>
      <c r="C2" s="2"/>
      <c r="D2" s="2"/>
      <c r="E2" s="2"/>
      <c r="F2" s="2"/>
      <c r="G2" s="3"/>
    </row>
    <row r="4" ht="36.0" customHeight="1">
      <c r="A4" s="5" t="s">
        <v>137</v>
      </c>
    </row>
    <row r="6">
      <c r="B6" s="13" t="s">
        <v>138</v>
      </c>
      <c r="C6" s="13" t="s">
        <v>139</v>
      </c>
      <c r="G6" s="13" t="s">
        <v>140</v>
      </c>
    </row>
    <row r="7" ht="36.0" customHeight="1">
      <c r="B7" s="28"/>
      <c r="C7" s="33" t="s">
        <v>141</v>
      </c>
      <c r="G7" s="34" t="str">
        <f t="shared" ref="G7:G12" si="1">IF(LOWER(B7)="x","✓","")</f>
        <v/>
      </c>
    </row>
    <row r="8" ht="21.0" customHeight="1">
      <c r="B8" s="28"/>
      <c r="C8" s="33" t="s">
        <v>142</v>
      </c>
      <c r="G8" s="34" t="str">
        <f t="shared" si="1"/>
        <v/>
      </c>
    </row>
    <row r="9" ht="21.0" customHeight="1">
      <c r="B9" s="28"/>
      <c r="C9" s="33" t="s">
        <v>143</v>
      </c>
      <c r="G9" s="34" t="str">
        <f t="shared" si="1"/>
        <v/>
      </c>
    </row>
    <row r="10" ht="21.0" customHeight="1">
      <c r="B10" s="28"/>
      <c r="C10" s="33" t="s">
        <v>144</v>
      </c>
      <c r="G10" s="34" t="str">
        <f t="shared" si="1"/>
        <v/>
      </c>
    </row>
    <row r="11" ht="21.0" customHeight="1">
      <c r="B11" s="28"/>
      <c r="C11" s="33" t="s">
        <v>145</v>
      </c>
      <c r="G11" s="34" t="str">
        <f t="shared" si="1"/>
        <v/>
      </c>
    </row>
    <row r="12" ht="21.0" customHeight="1">
      <c r="B12" s="28"/>
      <c r="C12" s="33" t="s">
        <v>146</v>
      </c>
      <c r="G12" s="34" t="str">
        <f t="shared" si="1"/>
        <v/>
      </c>
    </row>
    <row r="14" ht="37.5" customHeight="1">
      <c r="C14" s="35" t="str">
        <f>IF(COUNTIF(B7:B12,"x")=6,"All ticked — you can combine tables. Take it onto real data.","Keep going — "&amp;(6-COUNTIF(B7:B12,"x"))&amp;" to go.")</f>
        <v>Keep going — 6 to go.</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C11:F11"/>
    <mergeCell ref="C12:F12"/>
    <mergeCell ref="C14:G14"/>
    <mergeCell ref="A1:G1"/>
    <mergeCell ref="A2:G2"/>
    <mergeCell ref="A4:G4"/>
    <mergeCell ref="C7:F7"/>
    <mergeCell ref="C8:F8"/>
    <mergeCell ref="C9:F9"/>
    <mergeCell ref="C10:F10"/>
  </mergeCells>
  <printOptions/>
  <pageMargins bottom="1.0" footer="0.0" header="0.0" left="0.75" right="0.75" top="1.0"/>
  <pageSetup fitToHeight="0" orientation="landscape"/>
  <drawing r:id="rId1"/>
</worksheet>
</file>