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Warm-up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Spend Tiers" sheetId="5" state="visible" r:id="rId5"/>
    <sheet xmlns:r="http://schemas.openxmlformats.org/officeDocument/2006/relationships" name="Task 1 - XLOOKUP" sheetId="6" state="visible" r:id="rId6"/>
    <sheet xmlns:r="http://schemas.openxmlformats.org/officeDocument/2006/relationships" name="Task 2 - Not Found" sheetId="7" state="visible" r:id="rId7"/>
    <sheet xmlns:r="http://schemas.openxmlformats.org/officeDocument/2006/relationships" name="Task 3 - VLOOKUP" sheetId="8" state="visible" r:id="rId8"/>
    <sheet xmlns:r="http://schemas.openxmlformats.org/officeDocument/2006/relationships" name="Task 4 - Approx Match" sheetId="9" state="visible" r:id="rId9"/>
    <sheet xmlns:r="http://schemas.openxmlformats.org/officeDocument/2006/relationships" name="Support" sheetId="10" state="visible" r:id="rId10"/>
    <sheet xmlns:r="http://schemas.openxmlformats.org/officeDocument/2006/relationships" name="Stretch" sheetId="11" state="visible" r:id="rId11"/>
    <sheet xmlns:r="http://schemas.openxmlformats.org/officeDocument/2006/relationships" name="Confide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FFFFFFFF"/>
      <sz val="18"/>
    </font>
    <font>
      <color rgb="FFFFFFFF"/>
      <sz val="11"/>
    </font>
    <font>
      <name val="Calibri"/>
      <color rgb="FF000000"/>
      <sz val="11"/>
    </font>
    <font>
      <b val="1"/>
      <color rgb="FF5B2A86"/>
      <sz val="10"/>
    </font>
    <font>
      <b val="1"/>
      <color rgb="FF5B2A86"/>
      <sz val="11"/>
    </font>
    <font>
      <sz val="10.5"/>
    </font>
    <font>
      <b val="1"/>
      <sz val="12"/>
    </font>
    <font>
      <sz val="11"/>
    </font>
    <font>
      <b val="1"/>
      <color rgb="FFFFFFFF"/>
    </font>
    <font>
      <name val="Calibri"/>
      <color rgb="FF000000"/>
      <sz val="10.5"/>
    </font>
    <font>
      <name val="Consolas"/>
      <sz val="9.5"/>
    </font>
    <font>
      <b val="1"/>
    </font>
    <font>
      <name val="Consolas"/>
      <color rgb="FF000000"/>
      <sz val="10.5"/>
    </font>
    <font>
      <name val="Calibri"/>
      <i val="1"/>
      <color rgb="FF000000"/>
      <sz val="10.5"/>
    </font>
    <font>
      <b val="1"/>
      <color rgb="FFB00020"/>
      <sz val="10"/>
    </font>
    <font>
      <name val="Calibri"/>
      <b val="1"/>
      <color rgb="FF5B2A86"/>
      <sz val="11"/>
    </font>
    <font>
      <b val="1"/>
      <color rgb="FF548235"/>
      <sz val="13"/>
    </font>
    <font>
      <b val="1"/>
      <color rgb="FF5B2A86"/>
      <sz val="12"/>
    </font>
  </fonts>
  <fills count="8">
    <fill>
      <patternFill/>
    </fill>
    <fill>
      <patternFill patternType="gray125"/>
    </fill>
    <fill>
      <patternFill patternType="solid">
        <fgColor rgb="FF5B2A86"/>
      </patternFill>
    </fill>
    <fill>
      <patternFill patternType="solid">
        <fgColor rgb="FF8E5BB5"/>
      </patternFill>
    </fill>
    <fill>
      <patternFill patternType="solid">
        <fgColor rgb="FFF1E9F7"/>
      </patternFill>
    </fill>
    <fill>
      <patternFill patternType="solid">
        <fgColor rgb="FFFFF3C4"/>
      </patternFill>
    </fill>
    <fill>
      <patternFill patternType="solid">
        <fgColor rgb="FFEDE4F5"/>
      </patternFill>
    </fill>
    <fill>
      <patternFill patternType="solid">
        <fgColor rgb="FFFBE9E7"/>
      </patternFill>
    </fill>
  </fills>
  <borders count="2">
    <border>
      <left/>
      <right/>
      <top/>
      <bottom/>
      <diagonal/>
    </border>
    <border>
      <left style="thin">
        <color rgb="FFD9CCE6"/>
      </left>
      <right style="thin">
        <color rgb="FFD9CCE6"/>
      </right>
      <top style="thin">
        <color rgb="FFD9CCE6"/>
      </top>
      <bottom style="thin">
        <color rgb="FFD9CCE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vertical="top" wrapText="1"/>
    </xf>
    <xf numFmtId="0" fontId="4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10" fillId="0" borderId="0" applyAlignment="1" pivotButton="0" quotePrefix="0" xfId="0">
      <alignment vertical="top" wrapText="1"/>
    </xf>
    <xf numFmtId="0" fontId="9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0" fillId="5" borderId="1" pivotButton="0" quotePrefix="0" xfId="0"/>
    <xf numFmtId="0" fontId="12" fillId="0" borderId="0" pivotButton="0" quotePrefix="0" xfId="0"/>
    <xf numFmtId="0" fontId="13" fillId="6" borderId="0" applyAlignment="1" pivotButton="0" quotePrefix="1" xfId="0">
      <alignment vertical="top" wrapText="1"/>
    </xf>
    <xf numFmtId="0" fontId="0" fillId="6" borderId="0" pivotButton="0" quotePrefix="0" xfId="0"/>
    <xf numFmtId="0" fontId="14" fillId="0" borderId="0" applyAlignment="1" pivotButton="0" quotePrefix="0" xfId="0">
      <alignment vertical="top" wrapText="1"/>
    </xf>
    <xf numFmtId="0" fontId="15" fillId="7" borderId="0" pivotButton="0" quotePrefix="0" xfId="0"/>
    <xf numFmtId="0" fontId="0" fillId="7" borderId="0" pivotButton="0" quotePrefix="0" xfId="0"/>
    <xf numFmtId="0" fontId="16" fillId="0" borderId="0" applyAlignment="1" pivotButton="0" quotePrefix="0" xfId="0">
      <alignment vertical="top" wrapText="1"/>
    </xf>
    <xf numFmtId="0" fontId="9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center" wrapText="1"/>
    </xf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5B2A86"/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1" customWidth="1" min="5" max="5"/>
    <col width="11" customWidth="1" min="6" max="6"/>
    <col width="10" customWidth="1" min="7" max="7"/>
    <col width="6" customWidth="1" min="8" max="8"/>
  </cols>
  <sheetData>
    <row r="1" ht="26" customHeight="1">
      <c r="A1" s="1" t="inlineStr">
        <is>
          <t>XLOOKUP, VLOOKUP &amp; Joins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 focused drill on pulling data from another table</t>
        </is>
      </c>
      <c r="B2" s="4" t="n"/>
      <c r="C2" s="4" t="n"/>
      <c r="D2" s="4" t="n"/>
      <c r="E2" s="4" t="n"/>
      <c r="F2" s="4" t="n"/>
      <c r="G2" s="4" t="n"/>
      <c r="H2" s="4" t="n"/>
    </row>
    <row r="4" ht="66" customHeight="1">
      <c r="A4" s="5" t="inlineStr">
        <is>
          <t>This is a standalone drill on the single most useful data skill: looking a value up in another table and bringing it across. That's how two separate tables — orders here, product details there — become one joined-up table you can work with. You'll learn XLOOKUP (the modern way), see why VLOOKUP trips people up, and handle the case where a lookup finds nothing.</t>
        </is>
      </c>
    </row>
    <row r="6" ht="16" customHeight="1">
      <c r="A6" s="6" t="inlineStr">
        <is>
          <t>THE BIG IDEA: MATCH ON A KEY, BRING BACK A VALUE</t>
        </is>
      </c>
      <c r="B6" s="7" t="n"/>
      <c r="C6" s="7" t="n"/>
      <c r="D6" s="7" t="n"/>
      <c r="E6" s="7" t="n"/>
      <c r="F6" s="7" t="n"/>
      <c r="G6" s="7" t="n"/>
      <c r="H6" s="7" t="n"/>
    </row>
    <row r="7" ht="51" customHeight="1">
      <c r="A7" s="5" t="inlineStr">
        <is>
          <t>Every lookup needs three things: WHAT you're looking up (the key, e.g. a Product ID), WHERE to look for it (the key column in the other table), and WHAT to bring back (the value column — e.g. the price). Match the key, return the value. That's the whole idea.</t>
        </is>
      </c>
    </row>
    <row r="9" ht="34" customHeight="1">
      <c r="A9" s="8" t="inlineStr">
        <is>
          <t>XLOOKUP</t>
        </is>
      </c>
      <c r="C9" s="9" t="inlineStr">
        <is>
          <t>The modern default. Look up a key, return a value from anywhere — no column counting.</t>
        </is>
      </c>
    </row>
    <row r="10" ht="34" customHeight="1">
      <c r="A10" s="8" t="inlineStr">
        <is>
          <t>VLOOKUP</t>
        </is>
      </c>
      <c r="C10" s="9" t="inlineStr">
        <is>
          <t>The older way. Still everywhere, but has traps (it counts columns and can't look left).</t>
        </is>
      </c>
    </row>
    <row r="11" ht="34" customHeight="1">
      <c r="A11" s="8" t="inlineStr">
        <is>
          <t>Not found</t>
        </is>
      </c>
      <c r="C11" s="9" t="inlineStr">
        <is>
          <t>A key with no match returns #N/A. You handle it — you don't hide it.</t>
        </is>
      </c>
    </row>
    <row r="13">
      <c r="A13" s="10" t="inlineStr">
        <is>
          <t>How this drill works</t>
        </is>
      </c>
    </row>
    <row r="14" ht="21" customHeight="1">
      <c r="A14" s="11" t="inlineStr">
        <is>
          <t>•  Warm-up on a tiny pair of tables first.</t>
        </is>
      </c>
    </row>
    <row r="15" ht="21" customHeight="1">
      <c r="A15" s="11" t="inlineStr">
        <is>
          <t>•  Tasks build from XLOOKUP → not-found handling → VLOOKUP's traps → approximate match.</t>
        </is>
      </c>
    </row>
    <row r="16" ht="21" customHeight="1">
      <c r="A16" s="11" t="inlineStr">
        <is>
          <t>•  Type your formula in the amber cell — the Check column marks it ✓ or ✗ instantly.</t>
        </is>
      </c>
    </row>
    <row r="17" ht="21" customHeight="1">
      <c r="A17" s="11" t="inlineStr">
        <is>
          <t>•  Support tab is your glossary. Stretch goes further. Confidence gate at the end.</t>
        </is>
      </c>
    </row>
  </sheetData>
  <mergeCells count="9">
    <mergeCell ref="A4:H4"/>
    <mergeCell ref="C11:H11"/>
    <mergeCell ref="C10:H10"/>
    <mergeCell ref="A15:H15"/>
    <mergeCell ref="A7:H7"/>
    <mergeCell ref="A16:H16"/>
    <mergeCell ref="C9:H9"/>
    <mergeCell ref="A14:H14"/>
    <mergeCell ref="A17:H17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tabColor rgb="FF8E5BB5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0" customWidth="1" min="3" max="3"/>
    <col width="40" customWidth="1" min="4" max="4"/>
    <col width="2" customWidth="1" min="5" max="5"/>
    <col width="15" customWidth="1" min="6" max="6"/>
    <col width="13" customWidth="1" min="7" max="7"/>
    <col width="4" customWidth="1" min="8" max="8"/>
  </cols>
  <sheetData>
    <row r="1" ht="26" customHeight="1">
      <c r="A1" s="1" t="inlineStr">
        <is>
          <t>Warm-up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One tiny lookup before the real tables</t>
        </is>
      </c>
      <c r="B2" s="4" t="n"/>
      <c r="C2" s="4" t="n"/>
      <c r="D2" s="4" t="n"/>
      <c r="E2" s="4" t="n"/>
      <c r="F2" s="4" t="n"/>
      <c r="G2" s="4" t="n"/>
      <c r="H2" s="4" t="n"/>
    </row>
    <row r="4" ht="21" customHeight="1">
      <c r="A4" s="5" t="inlineStr">
        <is>
          <t>A mini table: Code in B7:B10, Name in C7:C10. Use XLOOKUP to pull a name back from a code.</t>
        </is>
      </c>
    </row>
    <row r="6">
      <c r="B6" s="12" t="inlineStr">
        <is>
          <t>Code</t>
        </is>
      </c>
      <c r="C6" s="12" t="inlineStr">
        <is>
          <t>Name</t>
        </is>
      </c>
    </row>
    <row r="7">
      <c r="B7" t="inlineStr">
        <is>
          <t>X1</t>
        </is>
      </c>
      <c r="C7" t="inlineStr">
        <is>
          <t>Apple</t>
        </is>
      </c>
    </row>
    <row r="8">
      <c r="B8" t="inlineStr">
        <is>
          <t>X2</t>
        </is>
      </c>
      <c r="C8" t="inlineStr">
        <is>
          <t>Banana</t>
        </is>
      </c>
    </row>
    <row r="9">
      <c r="B9" t="inlineStr">
        <is>
          <t>X3</t>
        </is>
      </c>
      <c r="C9" t="inlineStr">
        <is>
          <t>Cherry</t>
        </is>
      </c>
    </row>
    <row r="10">
      <c r="B10" t="inlineStr">
        <is>
          <t>X4</t>
        </is>
      </c>
      <c r="C10" t="inlineStr">
        <is>
          <t>Date</t>
        </is>
      </c>
    </row>
    <row r="13" ht="21" customHeight="1">
      <c r="B13" s="14" t="inlineStr">
        <is>
          <t>What to calculate</t>
        </is>
      </c>
      <c r="D13" s="14" t="inlineStr">
        <is>
          <t>Type this formula</t>
        </is>
      </c>
      <c r="F13" s="14" t="inlineStr">
        <is>
          <t>Your result</t>
        </is>
      </c>
      <c r="G13" s="14" t="inlineStr">
        <is>
          <t>Check</t>
        </is>
      </c>
    </row>
    <row r="14" ht="26" customHeight="1">
      <c r="B14" s="15" t="inlineStr">
        <is>
          <t>Look up the name for code "X3"</t>
        </is>
      </c>
      <c r="D14" s="16" t="inlineStr">
        <is>
          <t>e.g.  =XLOOKUP("X3",B7:B10,C7:C10)</t>
        </is>
      </c>
      <c r="F14" s="17" t="n"/>
      <c r="G14" s="18">
        <f>IF(F14="","",IF(ISNUMBER(SEARCH("Cherry",F14)),"✓  Correct","✗  Try again"))</f>
        <v/>
      </c>
    </row>
    <row r="15" ht="26" customHeight="1">
      <c r="B15" s="15" t="inlineStr">
        <is>
          <t>Look up the name for code "X1"</t>
        </is>
      </c>
      <c r="D15" s="16" t="inlineStr">
        <is>
          <t>e.g.  =XLOOKUP("X1",B7:B10,C7:C10)</t>
        </is>
      </c>
      <c r="F15" s="17" t="n"/>
      <c r="G15" s="18">
        <f>IF(F15="","",IF(ISNUMBER(SEARCH("Apple",F15)),"✓  Correct","✗  Try again"))</f>
        <v/>
      </c>
    </row>
  </sheetData>
  <mergeCells count="1">
    <mergeCell ref="A4:H4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tabColor rgb="FF8B7E9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9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26" customHeight="1">
      <c r="A1" s="1" t="inlineStr">
        <is>
          <t>Data — Products</t>
        </is>
      </c>
    </row>
    <row r="2">
      <c r="A2" s="3" t="inlineStr">
        <is>
          <t>The lookup table · note: ProductID is NOT the first column</t>
        </is>
      </c>
    </row>
    <row r="4">
      <c r="A4" s="12" t="inlineStr">
        <is>
          <t>Category</t>
        </is>
      </c>
      <c r="B4" s="12" t="inlineStr">
        <is>
          <t>ProductID</t>
        </is>
      </c>
      <c r="C4" s="12" t="inlineStr">
        <is>
          <t>ProductName</t>
        </is>
      </c>
      <c r="D4" s="12" t="inlineStr">
        <is>
          <t>Price</t>
        </is>
      </c>
    </row>
    <row r="5">
      <c r="A5" t="inlineStr">
        <is>
          <t>Audio</t>
        </is>
      </c>
      <c r="B5" t="inlineStr">
        <is>
          <t>P-100</t>
        </is>
      </c>
      <c r="C5" t="inlineStr">
        <is>
          <t>Headphones</t>
        </is>
      </c>
      <c r="D5" t="n">
        <v>79.98999999999999</v>
      </c>
    </row>
    <row r="6">
      <c r="A6" t="inlineStr">
        <is>
          <t>Audio</t>
        </is>
      </c>
      <c r="B6" t="inlineStr">
        <is>
          <t>P-101</t>
        </is>
      </c>
      <c r="C6" t="inlineStr">
        <is>
          <t>Earbuds</t>
        </is>
      </c>
      <c r="D6" t="n">
        <v>49.99</v>
      </c>
    </row>
    <row r="7">
      <c r="A7" t="inlineStr">
        <is>
          <t>Computing</t>
        </is>
      </c>
      <c r="B7" t="inlineStr">
        <is>
          <t>P-200</t>
        </is>
      </c>
      <c r="C7" t="inlineStr">
        <is>
          <t>Laptop</t>
        </is>
      </c>
      <c r="D7" t="n">
        <v>899</v>
      </c>
    </row>
    <row r="8">
      <c r="A8" t="inlineStr">
        <is>
          <t>Computing</t>
        </is>
      </c>
      <c r="B8" t="inlineStr">
        <is>
          <t>P-201</t>
        </is>
      </c>
      <c r="C8" t="inlineStr">
        <is>
          <t>Mouse</t>
        </is>
      </c>
      <c r="D8" t="n">
        <v>19.99</v>
      </c>
    </row>
    <row r="9">
      <c r="A9" t="inlineStr">
        <is>
          <t>Mobile</t>
        </is>
      </c>
      <c r="B9" t="inlineStr">
        <is>
          <t>P-300</t>
        </is>
      </c>
      <c r="C9" t="inlineStr">
        <is>
          <t>Phone Case</t>
        </is>
      </c>
      <c r="D9" t="n">
        <v>14.99</v>
      </c>
    </row>
    <row r="10">
      <c r="A10" t="inlineStr">
        <is>
          <t>Mobile</t>
        </is>
      </c>
      <c r="B10" t="inlineStr">
        <is>
          <t>P-301</t>
        </is>
      </c>
      <c r="C10" t="inlineStr">
        <is>
          <t>Charger</t>
        </is>
      </c>
      <c r="D10" t="n">
        <v>24.99</v>
      </c>
    </row>
    <row r="11">
      <c r="A11" t="inlineStr">
        <is>
          <t>Home</t>
        </is>
      </c>
      <c r="B11" t="inlineStr">
        <is>
          <t>P-400</t>
        </is>
      </c>
      <c r="C11" t="inlineStr">
        <is>
          <t>Smart Bulb</t>
        </is>
      </c>
      <c r="D11" t="n">
        <v>12.5</v>
      </c>
    </row>
    <row r="12">
      <c r="A12" t="inlineStr">
        <is>
          <t>Home</t>
        </is>
      </c>
      <c r="B12" t="inlineStr">
        <is>
          <t>P-401</t>
        </is>
      </c>
      <c r="C12" t="inlineStr">
        <is>
          <t>Speaker</t>
        </is>
      </c>
      <c r="D12" t="n">
        <v>59.99</v>
      </c>
    </row>
    <row r="15" ht="90" customHeight="1">
      <c r="A15" s="13" t="inlineStr">
        <is>
          <t>Notice ProductID sits in column B, with ProductName and Price to its RIGHT and Category to its LEFT. That layout matters: VLOOKUP can only look to the right of its key, so it can find the Price but NOT the Category. XLOOKUP can fetch either. This is the trap Task 3 explores.</t>
        </is>
      </c>
    </row>
  </sheetData>
  <mergeCells count="3">
    <mergeCell ref="A2:H2"/>
    <mergeCell ref="A15:F15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8B7E9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2.4" customWidth="1" min="4" max="4"/>
    <col width="2.4" customWidth="1" min="5" max="5"/>
    <col width="2.4" customWidth="1" min="6" max="6"/>
    <col width="2.4" customWidth="1" min="7" max="7"/>
    <col width="2.4" customWidth="1" min="8" max="8"/>
  </cols>
  <sheetData>
    <row r="1" ht="26" customHeight="1">
      <c r="A1" s="1" t="inlineStr">
        <is>
          <t>Data — Orders</t>
        </is>
      </c>
    </row>
    <row r="2">
      <c r="A2" s="3" t="inlineStr">
        <is>
          <t>What you'll join product details onto</t>
        </is>
      </c>
    </row>
    <row r="4">
      <c r="A4" s="12" t="inlineStr">
        <is>
          <t>OrderID</t>
        </is>
      </c>
      <c r="B4" s="12" t="inlineStr">
        <is>
          <t>ProductID</t>
        </is>
      </c>
      <c r="C4" s="12" t="inlineStr">
        <is>
          <t>Qty</t>
        </is>
      </c>
    </row>
    <row r="5">
      <c r="A5" t="inlineStr">
        <is>
          <t>O-1</t>
        </is>
      </c>
      <c r="B5" t="inlineStr">
        <is>
          <t>P-200</t>
        </is>
      </c>
      <c r="C5" t="n">
        <v>1</v>
      </c>
    </row>
    <row r="6">
      <c r="A6" t="inlineStr">
        <is>
          <t>O-2</t>
        </is>
      </c>
      <c r="B6" t="inlineStr">
        <is>
          <t>P-100</t>
        </is>
      </c>
      <c r="C6" t="n">
        <v>2</v>
      </c>
    </row>
    <row r="7">
      <c r="A7" t="inlineStr">
        <is>
          <t>O-3</t>
        </is>
      </c>
      <c r="B7" t="inlineStr">
        <is>
          <t>P-401</t>
        </is>
      </c>
      <c r="C7" t="n">
        <v>1</v>
      </c>
    </row>
    <row r="8">
      <c r="A8" t="inlineStr">
        <is>
          <t>O-4</t>
        </is>
      </c>
      <c r="B8" t="inlineStr">
        <is>
          <t>P-301</t>
        </is>
      </c>
      <c r="C8" t="n">
        <v>3</v>
      </c>
    </row>
    <row r="9">
      <c r="A9" t="inlineStr">
        <is>
          <t>O-5</t>
        </is>
      </c>
      <c r="B9" t="inlineStr">
        <is>
          <t>P-999</t>
        </is>
      </c>
      <c r="C9" t="n">
        <v>1</v>
      </c>
    </row>
    <row r="10">
      <c r="A10" t="inlineStr">
        <is>
          <t>O-6</t>
        </is>
      </c>
      <c r="B10" t="inlineStr">
        <is>
          <t>P-201</t>
        </is>
      </c>
      <c r="C10" t="n">
        <v>5</v>
      </c>
    </row>
    <row r="11">
      <c r="A11" t="inlineStr">
        <is>
          <t>O-7</t>
        </is>
      </c>
      <c r="B11" t="inlineStr">
        <is>
          <t>P-300</t>
        </is>
      </c>
      <c r="C11" t="n">
        <v>4</v>
      </c>
    </row>
    <row r="12">
      <c r="A12" t="inlineStr">
        <is>
          <t>O-8</t>
        </is>
      </c>
      <c r="B12" t="inlineStr">
        <is>
          <t>P-101</t>
        </is>
      </c>
      <c r="C12" t="n">
        <v>2</v>
      </c>
    </row>
    <row r="15" ht="76" customHeight="1">
      <c r="A15" s="13" t="inlineStr">
        <is>
          <t>Order O-5 references ProductID P-999 — which does NOT exist in the Products table. That's deliberate: it's the 'not found' case you'll learn to detect and handle in Task 2.</t>
        </is>
      </c>
    </row>
  </sheetData>
  <mergeCells count="3">
    <mergeCell ref="A2:H2"/>
    <mergeCell ref="A15:F1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8B7E9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.333333333333333" customWidth="1" min="3" max="3"/>
    <col width="4.333333333333333" customWidth="1" min="4" max="4"/>
    <col width="4.333333333333333" customWidth="1" min="5" max="5"/>
    <col width="4.333333333333333" customWidth="1" min="6" max="6"/>
    <col width="4.333333333333333" customWidth="1" min="7" max="7"/>
    <col width="4.333333333333333" customWidth="1" min="8" max="8"/>
  </cols>
  <sheetData>
    <row r="1" ht="26" customHeight="1">
      <c r="A1" s="1" t="inlineStr">
        <is>
          <t>Data — Spend Tiers</t>
        </is>
      </c>
    </row>
    <row r="2">
      <c r="A2" s="3" t="inlineStr">
        <is>
          <t>A banding table for approximate-match lookups</t>
        </is>
      </c>
    </row>
    <row r="4">
      <c r="A4" s="12" t="inlineStr">
        <is>
          <t>MinSpend</t>
        </is>
      </c>
      <c r="B4" s="12" t="inlineStr">
        <is>
          <t>Tier</t>
        </is>
      </c>
    </row>
    <row r="5">
      <c r="A5" t="n">
        <v>0</v>
      </c>
      <c r="B5" t="inlineStr">
        <is>
          <t>Bronze</t>
        </is>
      </c>
    </row>
    <row r="6">
      <c r="A6" t="n">
        <v>100</v>
      </c>
      <c r="B6" t="inlineStr">
        <is>
          <t>Silver</t>
        </is>
      </c>
    </row>
    <row r="7">
      <c r="A7" t="n">
        <v>500</v>
      </c>
      <c r="B7" t="inlineStr">
        <is>
          <t>Gold</t>
        </is>
      </c>
    </row>
    <row r="8">
      <c r="A8" t="n">
        <v>1000</v>
      </c>
      <c r="B8" t="inlineStr">
        <is>
          <t>Platinum</t>
        </is>
      </c>
    </row>
    <row r="11" ht="104" customHeight="1">
      <c r="A11" s="13" t="inlineStr">
        <is>
          <t>This table is SORTED by MinSpend (smallest first). Approximate-match lookups need that: they find the largest band a value reaches. A £160 order reaches 100 (Silver) but not 500, so it's Silver. Task 4 uses this.</t>
        </is>
      </c>
    </row>
  </sheetData>
  <mergeCells count="3">
    <mergeCell ref="A11:F11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B4BA8"/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" customWidth="1" min="3" max="3"/>
    <col width="40" customWidth="1" min="4" max="4"/>
    <col width="2" customWidth="1" min="5" max="5"/>
    <col width="15" customWidth="1" min="6" max="6"/>
    <col width="13" customWidth="1" min="7" max="7"/>
    <col width="4" customWidth="1" min="8" max="8"/>
  </cols>
  <sheetData>
    <row r="1" ht="26" customHeight="1">
      <c r="A1" s="1" t="inlineStr">
        <is>
          <t>Task 1 — XLOOKUP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Look up a value from another table</t>
        </is>
      </c>
      <c r="B2" s="4" t="n"/>
      <c r="C2" s="4" t="n"/>
      <c r="D2" s="4" t="n"/>
      <c r="E2" s="4" t="n"/>
      <c r="F2" s="4" t="n"/>
      <c r="G2" s="4" t="n"/>
      <c r="H2" s="4" t="n"/>
    </row>
    <row r="4" ht="16" customHeight="1">
      <c r="A4" s="6" t="inlineStr">
        <is>
          <t>WHAT IT DOES</t>
        </is>
      </c>
      <c r="B4" s="7" t="n"/>
      <c r="C4" s="7" t="n"/>
      <c r="D4" s="7" t="n"/>
      <c r="E4" s="7" t="n"/>
      <c r="F4" s="7" t="n"/>
      <c r="G4" s="7" t="n"/>
      <c r="H4" s="7" t="n"/>
    </row>
    <row r="5" ht="51" customHeight="1">
      <c r="A5" s="5" t="inlineStr">
        <is>
          <t>XLOOKUP needs three things: the value to find, the column to find it in, and the column to return from. Written out: =XLOOKUP(what, where_to_look, what_to_return). It matches exactly by default and doesn't care which order the columns are in.</t>
        </is>
      </c>
    </row>
    <row r="6" ht="16" customHeight="1">
      <c r="A6" s="6" t="inlineStr">
        <is>
          <t>WORKED EXAMPLE</t>
        </is>
      </c>
      <c r="B6" s="7" t="n"/>
      <c r="C6" s="7" t="n"/>
      <c r="D6" s="7" t="n"/>
      <c r="E6" s="7" t="n"/>
      <c r="F6" s="7" t="n"/>
      <c r="G6" s="7" t="n"/>
      <c r="H6" s="7" t="n"/>
    </row>
    <row r="7" ht="20" customHeight="1">
      <c r="A7" s="19" t="inlineStr">
        <is>
          <t>=XLOOKUP("P-200", Products!B5:B12, Products!D5:D12)   →   899</t>
        </is>
      </c>
    </row>
    <row r="8" ht="20" customHeight="1">
      <c r="A8" s="21" t="inlineStr">
        <is>
          <t>Finds P-200 in the ProductID column (B) and returns the matching Price from column D — the Laptop at £899.</t>
        </is>
      </c>
    </row>
    <row r="9" ht="16" customHeight="1">
      <c r="A9" s="22" t="inlineStr">
        <is>
          <t>⚠  COMMON MISTAKE</t>
        </is>
      </c>
      <c r="B9" s="23" t="n"/>
      <c r="C9" s="23" t="n"/>
      <c r="D9" s="23" t="n"/>
      <c r="E9" s="23" t="n"/>
      <c r="F9" s="23" t="n"/>
      <c r="G9" s="23" t="n"/>
      <c r="H9" s="23" t="n"/>
    </row>
    <row r="10" ht="34" customHeight="1">
      <c r="A10" s="13" t="inlineStr">
        <is>
          <t>Make sure the 'look in' range and the 'return' range are the same height (both rows 5 to 12). Mismatched ranges give wrong or error results.</t>
        </is>
      </c>
    </row>
    <row r="12" ht="21" customHeight="1">
      <c r="A12" s="24" t="inlineStr">
        <is>
          <t>Now you try — type your formula in the amber cell:</t>
        </is>
      </c>
    </row>
    <row r="13" ht="21" customHeight="1">
      <c r="B13" s="25" t="inlineStr">
        <is>
          <t>What to calculate</t>
        </is>
      </c>
      <c r="D13" s="25" t="inlineStr">
        <is>
          <t>Type this kind of formula</t>
        </is>
      </c>
      <c r="F13" s="25" t="inlineStr">
        <is>
          <t>Your result</t>
        </is>
      </c>
      <c r="G13" s="25" t="inlineStr">
        <is>
          <t>Check</t>
        </is>
      </c>
    </row>
    <row r="14" ht="32" customHeight="1">
      <c r="B14" s="26" t="inlineStr">
        <is>
          <t>Price of product "P-401"</t>
        </is>
      </c>
      <c r="D14" s="27" t="inlineStr">
        <is>
          <t>e.g.  =XLOOKUP("P-401",Products!B5:B12,Products!D5:D12)</t>
        </is>
      </c>
      <c r="F14" s="17" t="n"/>
      <c r="G14" s="18">
        <f>IF(F14="","",IFERROR(IF(ABS(F14-59.99)&lt;0.01,"✓  Correct","✗  Try again"),"✗  Try again"))</f>
        <v/>
      </c>
    </row>
    <row r="15" ht="32" customHeight="1">
      <c r="B15" s="26" t="inlineStr">
        <is>
          <t>Name of product "P-200"</t>
        </is>
      </c>
      <c r="D15" s="27" t="inlineStr">
        <is>
          <t>e.g.  =XLOOKUP("P-200",Products!B5:B12,Products!C5:C12)</t>
        </is>
      </c>
      <c r="F15" s="17" t="n"/>
      <c r="G15" s="18">
        <f>IF(F15="","",IF(ISNUMBER(SEARCH("Laptop",F15)),"✓  Correct","✗  Try again"))</f>
        <v/>
      </c>
    </row>
    <row r="16" ht="32" customHeight="1">
      <c r="B16" s="26" t="inlineStr">
        <is>
          <t>Category of product "P-301"</t>
        </is>
      </c>
      <c r="D16" s="27" t="inlineStr">
        <is>
          <t>e.g.  =XLOOKUP("P-301",Products!B5:B12,Products!A5:A12)</t>
        </is>
      </c>
      <c r="F16" s="17" t="n"/>
      <c r="G16" s="18">
        <f>IF(F16="","",IF(ISNUMBER(SEARCH("Mobile",F16)),"✓  Correct","✗  Try again"))</f>
        <v/>
      </c>
    </row>
    <row r="17" ht="32" customHeight="1">
      <c r="B17" s="26" t="inlineStr">
        <is>
          <t>Price of product "P-101"</t>
        </is>
      </c>
      <c r="D17" s="27" t="inlineStr">
        <is>
          <t>e.g.  =XLOOKUP("P-101",Products!B5:B12,Products!D5:D12)</t>
        </is>
      </c>
      <c r="F17" s="17" t="n"/>
      <c r="G17" s="18">
        <f>IF(F17="","",IFERROR(IF(ABS(F17-49.99)&lt;0.01,"✓  Correct","✗  Try again"),"✗  Try again"))</f>
        <v/>
      </c>
    </row>
  </sheetData>
  <mergeCells count="5">
    <mergeCell ref="A12:H12"/>
    <mergeCell ref="A7:H7"/>
    <mergeCell ref="A10:H10"/>
    <mergeCell ref="A5:H5"/>
    <mergeCell ref="A8:H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FF7B4BA8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" customWidth="1" min="3" max="3"/>
    <col width="40" customWidth="1" min="4" max="4"/>
    <col width="2" customWidth="1" min="5" max="5"/>
    <col width="15" customWidth="1" min="6" max="6"/>
    <col width="13" customWidth="1" min="7" max="7"/>
    <col width="4" customWidth="1" min="8" max="8"/>
  </cols>
  <sheetData>
    <row r="1" ht="26" customHeight="1">
      <c r="A1" s="1" t="inlineStr">
        <is>
          <t>Task 2 — When a lookup finds nothing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Detect and handle #N/A</t>
        </is>
      </c>
      <c r="B2" s="4" t="n"/>
      <c r="C2" s="4" t="n"/>
      <c r="D2" s="4" t="n"/>
      <c r="E2" s="4" t="n"/>
      <c r="F2" s="4" t="n"/>
      <c r="G2" s="4" t="n"/>
      <c r="H2" s="4" t="n"/>
    </row>
    <row r="4" ht="16" customHeight="1">
      <c r="A4" s="6" t="inlineStr">
        <is>
          <t>WHAT IT DOES</t>
        </is>
      </c>
      <c r="B4" s="7" t="n"/>
      <c r="C4" s="7" t="n"/>
      <c r="D4" s="7" t="n"/>
      <c r="E4" s="7" t="n"/>
      <c r="F4" s="7" t="n"/>
      <c r="G4" s="7" t="n"/>
      <c r="H4" s="7" t="n"/>
    </row>
    <row r="5" ht="36" customHeight="1">
      <c r="A5" s="5" t="inlineStr">
        <is>
          <t>If the key isn't in the table, a lookup returns #N/A. That's information, not just an error — it tells you a record is missing. XLOOKUP lets you supply a fourth argument: what to show INSTEAD of #N/A.</t>
        </is>
      </c>
    </row>
    <row r="6" ht="16" customHeight="1">
      <c r="A6" s="6" t="inlineStr">
        <is>
          <t>WORKED EXAMPLE</t>
        </is>
      </c>
      <c r="B6" s="7" t="n"/>
      <c r="C6" s="7" t="n"/>
      <c r="D6" s="7" t="n"/>
      <c r="E6" s="7" t="n"/>
      <c r="F6" s="7" t="n"/>
      <c r="G6" s="7" t="n"/>
      <c r="H6" s="7" t="n"/>
    </row>
    <row r="7" ht="20" customHeight="1">
      <c r="A7" s="19" t="inlineStr">
        <is>
          <t>=XLOOKUP("P-999", Products!B5:B12, Products!C5:C12, "Not found")   →   Not found</t>
        </is>
      </c>
    </row>
    <row r="8" ht="20" customHeight="1">
      <c r="A8" s="21" t="inlineStr">
        <is>
          <t>P-999 isn't in the table, so instead of #N/A the formula returns the friendly text "Not found".</t>
        </is>
      </c>
    </row>
    <row r="9" ht="16" customHeight="1">
      <c r="A9" s="22" t="inlineStr">
        <is>
          <t>⚠  COMMON MISTAKE</t>
        </is>
      </c>
      <c r="B9" s="23" t="n"/>
      <c r="C9" s="23" t="n"/>
      <c r="D9" s="23" t="n"/>
      <c r="E9" s="23" t="n"/>
      <c r="F9" s="23" t="n"/>
      <c r="G9" s="23" t="n"/>
      <c r="H9" s="23" t="n"/>
    </row>
    <row r="10" ht="34" customHeight="1">
      <c r="A10" s="13" t="inlineStr">
        <is>
          <t>Don't bury #N/A with IFERROR and forget it — a missing match often means a data problem worth flagging. Handle it on purpose, with a clear label.</t>
        </is>
      </c>
    </row>
    <row r="12" ht="21" customHeight="1">
      <c r="A12" s="24" t="inlineStr">
        <is>
          <t>Now you try — type your formula in the amber cell:</t>
        </is>
      </c>
    </row>
    <row r="13" ht="21" customHeight="1">
      <c r="B13" s="25" t="inlineStr">
        <is>
          <t>What to calculate</t>
        </is>
      </c>
      <c r="D13" s="25" t="inlineStr">
        <is>
          <t>Type this kind of formula</t>
        </is>
      </c>
      <c r="F13" s="25" t="inlineStr">
        <is>
          <t>Your result</t>
        </is>
      </c>
      <c r="G13" s="25" t="inlineStr">
        <is>
          <t>Check</t>
        </is>
      </c>
    </row>
    <row r="14" ht="36" customHeight="1">
      <c r="B14" s="26" t="inlineStr">
        <is>
          <t>Look up the name of "P-999" — return "Not found" if missing</t>
        </is>
      </c>
      <c r="D14" s="27" t="inlineStr">
        <is>
          <t>e.g.  =XLOOKUP("P-999",Products!B5:B12,Products!C5:C12,"Not found")</t>
        </is>
      </c>
      <c r="F14" s="17" t="n"/>
      <c r="G14" s="18">
        <f>IF(F14="","",IF(ISNUMBER(SEARCH("Not found",F14)),"✓  Correct","✗  Try again"))</f>
        <v/>
      </c>
    </row>
    <row r="15" ht="36" customHeight="1">
      <c r="B15" s="26" t="inlineStr">
        <is>
          <t>Look up the name of "P-300" — return "Not found" if missing</t>
        </is>
      </c>
      <c r="D15" s="27" t="inlineStr">
        <is>
          <t>e.g.  =XLOOKUP("P-300",Products!B5:B12,Products!C5:C12,"Not found")</t>
        </is>
      </c>
      <c r="F15" s="17" t="n"/>
      <c r="G15" s="18">
        <f>IF(F15="","",IF(ISNUMBER(SEARCH("Phone Case",F15)),"✓  Correct","✗  Try again"))</f>
        <v/>
      </c>
    </row>
    <row r="16" ht="51" customHeight="1">
      <c r="B16" s="26" t="inlineStr">
        <is>
          <t>Order O-5 uses ProductID P-999. Look up its price, return 0 if missing</t>
        </is>
      </c>
      <c r="D16" s="27" t="inlineStr">
        <is>
          <t>e.g.  =XLOOKUP("P-999",Products!B5:B12,Products!D5:D12,0)</t>
        </is>
      </c>
      <c r="F16" s="17" t="n"/>
      <c r="G16" s="18">
        <f>IF(F16="","",IFERROR(IF(ABS(F16-0)&lt;0.01,"✓  Correct","✗  Try again"),"✗  Try again"))</f>
        <v/>
      </c>
    </row>
  </sheetData>
  <mergeCells count="5">
    <mergeCell ref="A12:H12"/>
    <mergeCell ref="A7:H7"/>
    <mergeCell ref="A10:H10"/>
    <mergeCell ref="A5:H5"/>
    <mergeCell ref="A8:H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FF7B4BA8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" customWidth="1" min="3" max="3"/>
    <col width="40" customWidth="1" min="4" max="4"/>
    <col width="2" customWidth="1" min="5" max="5"/>
    <col width="15" customWidth="1" min="6" max="6"/>
    <col width="13" customWidth="1" min="7" max="7"/>
    <col width="4" customWidth="1" min="8" max="8"/>
  </cols>
  <sheetData>
    <row r="1" ht="26" customHeight="1">
      <c r="A1" s="1" t="inlineStr">
        <is>
          <t>Task 3 — VLOOKUP &amp; why we moved 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The older way, and its traps</t>
        </is>
      </c>
      <c r="B2" s="4" t="n"/>
      <c r="C2" s="4" t="n"/>
      <c r="D2" s="4" t="n"/>
      <c r="E2" s="4" t="n"/>
      <c r="F2" s="4" t="n"/>
      <c r="G2" s="4" t="n"/>
      <c r="H2" s="4" t="n"/>
    </row>
    <row r="4" ht="16" customHeight="1">
      <c r="A4" s="6" t="inlineStr">
        <is>
          <t>WHAT IT DOES</t>
        </is>
      </c>
      <c r="B4" s="7" t="n"/>
      <c r="C4" s="7" t="n"/>
      <c r="D4" s="7" t="n"/>
      <c r="E4" s="7" t="n"/>
      <c r="F4" s="7" t="n"/>
      <c r="G4" s="7" t="n"/>
      <c r="H4" s="7" t="n"/>
    </row>
    <row r="5" ht="51" customHeight="1">
      <c r="A5" s="5" t="inlineStr">
        <is>
          <t>VLOOKUP looks up a value in the FIRST column of a range and returns a value from a column you specify by NUMBER (counting from the left of the range). It always needs FALSE at the end for an exact match. It works — but the traps below are why XLOOKUP is now preferred.</t>
        </is>
      </c>
    </row>
    <row r="6" ht="16" customHeight="1">
      <c r="A6" s="6" t="inlineStr">
        <is>
          <t>WORKED EXAMPLE</t>
        </is>
      </c>
      <c r="B6" s="7" t="n"/>
      <c r="C6" s="7" t="n"/>
      <c r="D6" s="7" t="n"/>
      <c r="E6" s="7" t="n"/>
      <c r="F6" s="7" t="n"/>
      <c r="G6" s="7" t="n"/>
      <c r="H6" s="7" t="n"/>
    </row>
    <row r="7" ht="20" customHeight="1">
      <c r="A7" s="19" t="inlineStr">
        <is>
          <t>=VLOOKUP("P-200", Products!B5:D12, 3, FALSE)   →   899</t>
        </is>
      </c>
    </row>
    <row r="8" ht="34" customHeight="1">
      <c r="A8" s="21" t="inlineStr">
        <is>
          <t>Looks up P-200 in the first column of the range B:D, then returns the 3rd column of that range (Price). Note the range must START at the ProductID column.</t>
        </is>
      </c>
    </row>
    <row r="9" ht="16" customHeight="1">
      <c r="A9" s="22" t="inlineStr">
        <is>
          <t>⚠  COMMON MISTAKE</t>
        </is>
      </c>
      <c r="B9" s="23" t="n"/>
      <c r="C9" s="23" t="n"/>
      <c r="D9" s="23" t="n"/>
      <c r="E9" s="23" t="n"/>
      <c r="F9" s="23" t="n"/>
      <c r="G9" s="23" t="n"/>
      <c r="H9" s="23" t="n"/>
    </row>
    <row r="10" ht="48" customHeight="1">
      <c r="A10" s="13" t="inlineStr">
        <is>
          <t>Three traps: (1) the key must be the LEFTMOST column of your range — VLOOKUP can't fetch Category, which sits to the left of ProductID. (2) The column number is counted by hand — insert a column and it breaks. (3) Forgetting FALSE gives a wrong 'closest' match.</t>
        </is>
      </c>
    </row>
    <row r="12" ht="21" customHeight="1">
      <c r="A12" s="24" t="inlineStr">
        <is>
          <t>Now you try — type your formula in the amber cell:</t>
        </is>
      </c>
    </row>
    <row r="13" ht="21" customHeight="1">
      <c r="B13" s="25" t="inlineStr">
        <is>
          <t>What to calculate</t>
        </is>
      </c>
      <c r="D13" s="25" t="inlineStr">
        <is>
          <t>Type this kind of formula</t>
        </is>
      </c>
      <c r="F13" s="25" t="inlineStr">
        <is>
          <t>Your result</t>
        </is>
      </c>
      <c r="G13" s="25" t="inlineStr">
        <is>
          <t>Check</t>
        </is>
      </c>
    </row>
    <row r="14" ht="36" customHeight="1">
      <c r="B14" s="26" t="inlineStr">
        <is>
          <t>VLOOKUP the Price of "P-401" (range B:D, 3rd col, exact)</t>
        </is>
      </c>
      <c r="D14" s="27" t="inlineStr">
        <is>
          <t>e.g.  =VLOOKUP("P-401",Products!B5:D12,3,FALSE)</t>
        </is>
      </c>
      <c r="F14" s="17" t="n"/>
      <c r="G14" s="18">
        <f>IF(F14="","",IFERROR(IF(ABS(F14-59.99)&lt;0.01,"✓  Correct","✗  Try again"),"✗  Try again"))</f>
        <v/>
      </c>
    </row>
    <row r="15" ht="36" customHeight="1">
      <c r="B15" s="26" t="inlineStr">
        <is>
          <t>VLOOKUP the Name of "P-300" (range B:D, 2nd col, exact)</t>
        </is>
      </c>
      <c r="D15" s="27" t="inlineStr">
        <is>
          <t>e.g.  =VLOOKUP("P-300",Products!B5:D12,2,FALSE)</t>
        </is>
      </c>
      <c r="F15" s="17" t="n"/>
      <c r="G15" s="18">
        <f>IF(F15="","",IF(ISNUMBER(SEARCH("Phone Case",F15)),"✓  Correct","✗  Try again"))</f>
        <v/>
      </c>
    </row>
    <row r="16" ht="36" customHeight="1">
      <c r="B16" s="26" t="inlineStr">
        <is>
          <t>VLOOKUP the Price of "P-201" (range B:D, 3rd col, exact)</t>
        </is>
      </c>
      <c r="D16" s="27" t="inlineStr">
        <is>
          <t>e.g.  =VLOOKUP("P-201",Products!B5:D12,3,FALSE)</t>
        </is>
      </c>
      <c r="F16" s="17" t="n"/>
      <c r="G16" s="18">
        <f>IF(F16="","",IFERROR(IF(ABS(F16-19.99)&lt;0.01,"✓  Correct","✗  Try again"),"✗  Try again"))</f>
        <v/>
      </c>
    </row>
  </sheetData>
  <mergeCells count="5">
    <mergeCell ref="A12:H12"/>
    <mergeCell ref="A7:H7"/>
    <mergeCell ref="A10:H10"/>
    <mergeCell ref="A5:H5"/>
    <mergeCell ref="A8:H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tabColor rgb="FF7B4BA8"/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" customWidth="1" min="3" max="3"/>
    <col width="40" customWidth="1" min="4" max="4"/>
    <col width="2" customWidth="1" min="5" max="5"/>
    <col width="15" customWidth="1" min="6" max="6"/>
    <col width="13" customWidth="1" min="7" max="7"/>
    <col width="4" customWidth="1" min="8" max="8"/>
  </cols>
  <sheetData>
    <row r="1" ht="26" customHeight="1">
      <c r="A1" s="1" t="inlineStr">
        <is>
          <t>Task 4 — Approximate match (banding)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Find the band a value falls in</t>
        </is>
      </c>
      <c r="B2" s="4" t="n"/>
      <c r="C2" s="4" t="n"/>
      <c r="D2" s="4" t="n"/>
      <c r="E2" s="4" t="n"/>
      <c r="F2" s="4" t="n"/>
      <c r="G2" s="4" t="n"/>
      <c r="H2" s="4" t="n"/>
    </row>
    <row r="4" ht="16" customHeight="1">
      <c r="A4" s="6" t="inlineStr">
        <is>
          <t>WHAT IT DOES</t>
        </is>
      </c>
      <c r="B4" s="7" t="n"/>
      <c r="C4" s="7" t="n"/>
      <c r="D4" s="7" t="n"/>
      <c r="E4" s="7" t="n"/>
      <c r="F4" s="7" t="n"/>
      <c r="G4" s="7" t="n"/>
      <c r="H4" s="7" t="n"/>
    </row>
    <row r="5" ht="51" customHeight="1">
      <c r="A5" s="5" t="inlineStr">
        <is>
          <t>Sometimes you don't want an exact match — you want the band a number falls into, like turning a spend amount into a tier. With a SORTED banding table, an approximate lookup finds the largest threshold the value reaches. XLOOKUP does this with a match-mode of -1 (exact or next smaller).</t>
        </is>
      </c>
    </row>
    <row r="6" ht="16" customHeight="1">
      <c r="A6" s="6" t="inlineStr">
        <is>
          <t>WORKED EXAMPLE</t>
        </is>
      </c>
      <c r="B6" s="7" t="n"/>
      <c r="C6" s="7" t="n"/>
      <c r="D6" s="7" t="n"/>
      <c r="E6" s="7" t="n"/>
      <c r="F6" s="7" t="n"/>
      <c r="G6" s="7" t="n"/>
      <c r="H6" s="7" t="n"/>
    </row>
    <row r="7" ht="20" customHeight="1">
      <c r="A7" s="19" t="inlineStr">
        <is>
          <t>=XLOOKUP(160, 'Spend Tiers'!A5:A8, 'Spend Tiers'!B5:B8, , -1)   →   Silver</t>
        </is>
      </c>
    </row>
    <row r="8" ht="34" customHeight="1">
      <c r="A8" s="21" t="inlineStr">
        <is>
          <t>£160 reaches the 100 threshold (Silver) but not 500 (Gold), so the next-smaller match returns Silver. The tiers table must be sorted ascending.</t>
        </is>
      </c>
    </row>
    <row r="9" ht="16" customHeight="1">
      <c r="A9" s="22" t="inlineStr">
        <is>
          <t>⚠  COMMON MISTAKE</t>
        </is>
      </c>
      <c r="B9" s="23" t="n"/>
      <c r="C9" s="23" t="n"/>
      <c r="D9" s="23" t="n"/>
      <c r="E9" s="23" t="n"/>
      <c r="F9" s="23" t="n"/>
      <c r="G9" s="23" t="n"/>
      <c r="H9" s="23" t="n"/>
    </row>
    <row r="10" ht="34" customHeight="1">
      <c r="A10" s="13" t="inlineStr">
        <is>
          <t>Approximate match needs the lookup table SORTED ascending, and you must pick the right direction (next-smaller, not next-larger). Unsorted data gives silently wrong bands.</t>
        </is>
      </c>
    </row>
    <row r="12" ht="21" customHeight="1">
      <c r="A12" s="24" t="inlineStr">
        <is>
          <t>Now you try — type your formula in the amber cell:</t>
        </is>
      </c>
    </row>
    <row r="13" ht="21" customHeight="1">
      <c r="B13" s="25" t="inlineStr">
        <is>
          <t>What to calculate</t>
        </is>
      </c>
      <c r="D13" s="25" t="inlineStr">
        <is>
          <t>Type this kind of formula</t>
        </is>
      </c>
      <c r="F13" s="25" t="inlineStr">
        <is>
          <t>Your result</t>
        </is>
      </c>
      <c r="G13" s="25" t="inlineStr">
        <is>
          <t>Check</t>
        </is>
      </c>
    </row>
    <row r="14" ht="36" customHeight="1">
      <c r="B14" s="26" t="inlineStr">
        <is>
          <t>Tier for a £160 spend (match mode -1)</t>
        </is>
      </c>
      <c r="D14" s="27" t="inlineStr">
        <is>
          <t>e.g.  =XLOOKUP(160,'Spend Tiers'!A5:A8,'Spend Tiers'!B5:B8,,-1)</t>
        </is>
      </c>
      <c r="F14" s="17" t="n"/>
      <c r="G14" s="18">
        <f>IF(F14="","",IF(ISNUMBER(SEARCH("Silver",F14)),"✓  Correct","✗  Try again"))</f>
        <v/>
      </c>
    </row>
    <row r="15" ht="32" customHeight="1">
      <c r="B15" s="26" t="inlineStr">
        <is>
          <t>Tier for an £899 spend</t>
        </is>
      </c>
      <c r="D15" s="27" t="inlineStr">
        <is>
          <t>e.g.  =XLOOKUP(899,'Spend Tiers'!A5:A8,'Spend Tiers'!B5:B8,,-1)</t>
        </is>
      </c>
      <c r="F15" s="17" t="n"/>
      <c r="G15" s="18">
        <f>IF(F15="","",IF(ISNUMBER(SEARCH("Gold",F15)),"✓  Correct","✗  Try again"))</f>
        <v/>
      </c>
    </row>
    <row r="16" ht="32" customHeight="1">
      <c r="B16" s="26" t="inlineStr">
        <is>
          <t>Tier for a £45 spend</t>
        </is>
      </c>
      <c r="D16" s="27" t="inlineStr">
        <is>
          <t>e.g.  =XLOOKUP(45,'Spend Tiers'!A5:A8,'Spend Tiers'!B5:B8,,-1)</t>
        </is>
      </c>
      <c r="F16" s="17" t="n"/>
      <c r="G16" s="18">
        <f>IF(F16="","",IF(ISNUMBER(SEARCH("Bronze",F16)),"✓  Correct","✗  Try again"))</f>
        <v/>
      </c>
    </row>
    <row r="17" ht="32" customHeight="1">
      <c r="B17" s="26" t="inlineStr">
        <is>
          <t>Tier for a £1200 spend</t>
        </is>
      </c>
      <c r="D17" s="27" t="inlineStr">
        <is>
          <t>e.g.  =XLOOKUP(1200,'Spend Tiers'!A5:A8,'Spend Tiers'!B5:B8,,-1)</t>
        </is>
      </c>
      <c r="F17" s="17" t="n"/>
      <c r="G17" s="18">
        <f>IF(F17="","",IF(ISNUMBER(SEARCH("Platinum",F17)),"✓  Correct","✗  Try again"))</f>
        <v/>
      </c>
    </row>
  </sheetData>
  <mergeCells count="5">
    <mergeCell ref="A12:H12"/>
    <mergeCell ref="A7:H7"/>
    <mergeCell ref="A10:H10"/>
    <mergeCell ref="A5:H5"/>
    <mergeCell ref="A8:H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6" customHeight="1">
      <c r="A1" s="1" t="inlineStr">
        <is>
          <t>Support — your glossary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The lookup toolkit at a glance</t>
        </is>
      </c>
      <c r="B2" s="4" t="n"/>
      <c r="C2" s="4" t="n"/>
      <c r="D2" s="4" t="n"/>
      <c r="E2" s="4" t="n"/>
      <c r="F2" s="4" t="n"/>
      <c r="G2" s="4" t="n"/>
      <c r="H2" s="4" t="n"/>
    </row>
    <row r="4" ht="34" customHeight="1">
      <c r="A4" s="8" t="inlineStr">
        <is>
          <t>XLOOKUP</t>
        </is>
      </c>
      <c r="B4" s="9" t="inlineStr">
        <is>
          <t>XLOOKUP(find, look_in, return_from, [if_not_found], [match_mode]). Modern, flexible, exact by default.</t>
        </is>
      </c>
    </row>
    <row r="5" ht="34" customHeight="1">
      <c r="A5" s="8" t="inlineStr">
        <is>
          <t>VLOOKUP</t>
        </is>
      </c>
      <c r="B5" s="9" t="inlineStr">
        <is>
          <t>VLOOKUP(find, table, column_number, FALSE). Key must be the FIRST column; counts columns by number; needs FALSE for exact.</t>
        </is>
      </c>
    </row>
    <row r="6" ht="34" customHeight="1">
      <c r="A6" s="8" t="e">
        <v>#N/A</v>
      </c>
      <c r="B6" s="9" t="inlineStr">
        <is>
          <t>The result when a key has no match. Means 'not found'. Handle with XLOOKUP's 4th argument or IFNA.</t>
        </is>
      </c>
    </row>
    <row r="7" ht="34" customHeight="1">
      <c r="A7" s="8" t="inlineStr">
        <is>
          <t>IFNA</t>
        </is>
      </c>
      <c r="B7" s="9" t="inlineStr">
        <is>
          <t>IFNA(formula, value_if_na). Wraps a lookup to replace #N/A with your own text or number.</t>
        </is>
      </c>
    </row>
    <row r="8" ht="34" customHeight="1">
      <c r="A8" s="8" t="inlineStr">
        <is>
          <t>Exact match</t>
        </is>
      </c>
      <c r="B8" s="9" t="inlineStr">
        <is>
          <t>The normal case — the key must match precisely. XLOOKUP does this automatically; VLOOKUP needs FALSE.</t>
        </is>
      </c>
    </row>
    <row r="9" ht="34" customHeight="1">
      <c r="A9" s="8" t="inlineStr">
        <is>
          <t>Approximate match</t>
        </is>
      </c>
      <c r="B9" s="9" t="inlineStr">
        <is>
          <t>Finds the band a value falls into. Needs a SORTED table. XLOOKUP match_mode -1 = exact or next smaller.</t>
        </is>
      </c>
    </row>
    <row r="10" ht="34" customHeight="1">
      <c r="A10" s="8" t="inlineStr">
        <is>
          <t>Key / join</t>
        </is>
      </c>
      <c r="B10" s="9" t="inlineStr">
        <is>
          <t>The shared column that links two tables (here, ProductID). Matching on the key is 'joining'.</t>
        </is>
      </c>
    </row>
  </sheetData>
  <mergeCells count="7">
    <mergeCell ref="B8:H8"/>
    <mergeCell ref="B9:H9"/>
    <mergeCell ref="B4:H4"/>
    <mergeCell ref="B6:H6"/>
    <mergeCell ref="B7:H7"/>
    <mergeCell ref="B10:H10"/>
    <mergeCell ref="B5:H5"/>
  </mergeCells>
  <pageMargins left="0.75" right="0.75" top="1" bottom="1" header="0.5" footer="0.5"/>
  <pageSetup fitToWidth="1"/>
</worksheet>
</file>

<file path=xl/worksheets/sheet11.xml><?xml version="1.0" encoding="utf-8"?>
<worksheet xmlns="http://schemas.openxmlformats.org/spreadsheetml/2006/main">
  <sheetPr>
    <tabColor rgb="FF3F1D5E"/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" customWidth="1" min="3" max="3"/>
    <col width="42" customWidth="1" min="4" max="4"/>
    <col width="2" customWidth="1" min="5" max="5"/>
    <col width="15" customWidth="1" min="6" max="6"/>
    <col width="13" customWidth="1" min="7" max="7"/>
    <col width="4" customWidth="1" min="8" max="8"/>
  </cols>
  <sheetData>
    <row r="1" ht="26" customHeight="1">
      <c r="A1" s="1" t="inlineStr">
        <is>
          <t>Stretch — go further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Combine a lookup with a calculation</t>
        </is>
      </c>
      <c r="B2" s="4" t="n"/>
      <c r="C2" s="4" t="n"/>
      <c r="D2" s="4" t="n"/>
      <c r="E2" s="4" t="n"/>
      <c r="F2" s="4" t="n"/>
      <c r="G2" s="4" t="n"/>
      <c r="H2" s="4" t="n"/>
    </row>
    <row r="4" ht="36" customHeight="1">
      <c r="A4" s="5" t="inlineStr">
        <is>
          <t>Real joins usually feed a calculation. These nest a lookup inside some arithmetic — the same self-checking amber cells apply.</t>
        </is>
      </c>
    </row>
    <row r="6" ht="21" customHeight="1">
      <c r="B6" s="25" t="inlineStr">
        <is>
          <t>What to calculate</t>
        </is>
      </c>
      <c r="D6" s="25" t="inlineStr">
        <is>
          <t>Type this kind of formula</t>
        </is>
      </c>
      <c r="F6" s="25" t="inlineStr">
        <is>
          <t>Your result</t>
        </is>
      </c>
      <c r="G6" s="25" t="inlineStr">
        <is>
          <t>Check</t>
        </is>
      </c>
    </row>
    <row r="7" ht="36" customHeight="1">
      <c r="B7" s="26" t="inlineStr">
        <is>
          <t>Line total for order O-1: look up P-200's price × qty 1</t>
        </is>
      </c>
      <c r="D7" s="27" t="inlineStr">
        <is>
          <t>e.g.  =XLOOKUP("P-200",Products!B5:B12,Products!D5:D12)*1</t>
        </is>
      </c>
      <c r="F7" s="17" t="n"/>
      <c r="G7" s="18">
        <f>IF(F7="","",IFERROR(IF(ABS(F7-899.0)&lt;0.01,"✓  Correct","✗  Try again"),"✗  Try again"))</f>
        <v/>
      </c>
    </row>
    <row r="8" ht="36" customHeight="1">
      <c r="B8" s="26" t="inlineStr">
        <is>
          <t>Line total for order O-2: P-100 price × qty 2</t>
        </is>
      </c>
      <c r="D8" s="27" t="inlineStr">
        <is>
          <t>e.g.  =XLOOKUP("P-100",Products!B5:B12,Products!D5:D12)*2</t>
        </is>
      </c>
      <c r="F8" s="17" t="n"/>
      <c r="G8" s="18">
        <f>IF(F8="","",IFERROR(IF(ABS(F8-159.98)&lt;0.01,"✓  Correct","✗  Try again"),"✗  Try again"))</f>
        <v/>
      </c>
    </row>
    <row r="9" ht="36" customHeight="1">
      <c r="B9" s="26" t="inlineStr">
        <is>
          <t>Line total for order O-6: P-201 price × qty 5</t>
        </is>
      </c>
      <c r="D9" s="27" t="inlineStr">
        <is>
          <t>e.g.  =XLOOKUP("P-201",Products!B5:B12,Products!D5:D12)*5</t>
        </is>
      </c>
      <c r="F9" s="17" t="n"/>
      <c r="G9" s="18">
        <f>IF(F9="","",IFERROR(IF(ABS(F9-99.95)&lt;0.01,"✓  Correct","✗  Try again"),"✗  Try again"))</f>
        <v/>
      </c>
    </row>
    <row r="10" ht="36" customHeight="1">
      <c r="B10" s="26" t="inlineStr">
        <is>
          <t>O-2's tier: take its £159.98 line total into the Spend Tiers table</t>
        </is>
      </c>
      <c r="D10" s="27" t="inlineStr">
        <is>
          <t>e.g.  =XLOOKUP(159.98,'Spend Tiers'!A5:A8,'Spend Tiers'!B5:B8,,-1)</t>
        </is>
      </c>
      <c r="F10" s="17" t="n"/>
      <c r="G10" s="18">
        <f>IF(F10="","",IF(ISNUMBER(SEARCH("Silver",F10)),"✓  Correct","✗  Try again"))</f>
        <v/>
      </c>
    </row>
  </sheetData>
  <mergeCells count="1">
    <mergeCell ref="A4:H4"/>
  </mergeCells>
  <pageMargins left="0.75" right="0.75" top="1" bottom="1" header="0.5" footer="0.5"/>
  <pageSetup fitToWidth="1"/>
</worksheet>
</file>

<file path=xl/worksheets/sheet12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5" customWidth="1" min="7" max="7"/>
    <col width="13" customWidth="1" min="8" max="8"/>
  </cols>
  <sheetData>
    <row r="1" ht="26" customHeight="1">
      <c r="A1" s="1" t="inlineStr">
        <is>
          <t>Confidence check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Tick each box you can honestly do</t>
        </is>
      </c>
      <c r="B2" s="4" t="n"/>
      <c r="C2" s="4" t="n"/>
      <c r="D2" s="4" t="n"/>
      <c r="E2" s="4" t="n"/>
      <c r="F2" s="4" t="n"/>
      <c r="G2" s="4" t="n"/>
      <c r="H2" s="4" t="n"/>
    </row>
    <row r="4" ht="36" customHeight="1">
      <c r="A4" s="5" t="inlineStr">
        <is>
          <t>Type x in each amber box you can tick. All ticked means you can join tables with confidence.</t>
        </is>
      </c>
    </row>
    <row r="6">
      <c r="B6" s="12" t="inlineStr">
        <is>
          <t>Tick</t>
        </is>
      </c>
      <c r="C6" s="12" t="inlineStr">
        <is>
          <t>I can…</t>
        </is>
      </c>
      <c r="G6" s="12" t="inlineStr">
        <is>
          <t>✓</t>
        </is>
      </c>
    </row>
    <row r="7" ht="21" customHeight="1">
      <c r="B7" s="17" t="n"/>
      <c r="C7" s="28" t="inlineStr">
        <is>
          <t>use XLOOKUP to pull a value from another table</t>
        </is>
      </c>
      <c r="G7" s="29">
        <f>IF(LOWER(B7)="x","✓","")</f>
        <v/>
      </c>
    </row>
    <row r="8" ht="36" customHeight="1">
      <c r="B8" s="17" t="n"/>
      <c r="C8" s="28" t="inlineStr">
        <is>
          <t>explain the three parts: what to find, where to look, what to return</t>
        </is>
      </c>
      <c r="G8" s="29">
        <f>IF(LOWER(B8)="x","✓","")</f>
        <v/>
      </c>
    </row>
    <row r="9" ht="21" customHeight="1">
      <c r="B9" s="17" t="n"/>
      <c r="C9" s="28" t="inlineStr">
        <is>
          <t>handle a missing match instead of leaving a raw #N/A</t>
        </is>
      </c>
      <c r="G9" s="29">
        <f>IF(LOWER(B9)="x","✓","")</f>
        <v/>
      </c>
    </row>
    <row r="10" ht="36" customHeight="1">
      <c r="B10" s="17" t="n"/>
      <c r="C10" s="28" t="inlineStr">
        <is>
          <t>use VLOOKUP and name its traps (leftmost key, column number, FALSE)</t>
        </is>
      </c>
      <c r="G10" s="29">
        <f>IF(LOWER(B10)="x","✓","")</f>
        <v/>
      </c>
    </row>
    <row r="11" ht="21" customHeight="1">
      <c r="B11" s="17" t="n"/>
      <c r="C11" s="28" t="inlineStr">
        <is>
          <t>do an approximate match against a sorted banding table</t>
        </is>
      </c>
      <c r="G11" s="29">
        <f>IF(LOWER(B11)="x","✓","")</f>
        <v/>
      </c>
    </row>
    <row r="12" ht="21" customHeight="1">
      <c r="B12" s="17" t="n"/>
      <c r="C12" s="28" t="inlineStr">
        <is>
          <t>combine a lookup with a calculation (e.g. price × quantity)</t>
        </is>
      </c>
      <c r="G12" s="29">
        <f>IF(LOWER(B12)="x","✓","")</f>
        <v/>
      </c>
    </row>
    <row r="14" ht="38" customHeight="1">
      <c r="C14" s="30">
        <f>IF(COUNTIF(B7:B12,"x")=6,"All ticked — you can join tables. Take it onto real data.","Keep going — "&amp;(6-COUNTIF(B7:B12,"x"))&amp;" to go.")</f>
        <v/>
      </c>
    </row>
  </sheetData>
  <mergeCells count="8">
    <mergeCell ref="A4:H4"/>
    <mergeCell ref="C9:F9"/>
    <mergeCell ref="C8:F8"/>
    <mergeCell ref="C14:H14"/>
    <mergeCell ref="C12:F12"/>
    <mergeCell ref="C7:F7"/>
    <mergeCell ref="C11:F11"/>
    <mergeCell ref="C10:F10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2026-06-23T16:50:36Z</dcterms:created>
  <dcterms:modified xmlns:dcterms="http://purl.org/dc/terms/" xmlns:xsi="http://www.w3.org/2001/XMLSchema-instance" xsi:type="dcterms:W3CDTF">2026-06-23T16:57:56Z</dcterms:modified>
</cp:coreProperties>
</file>