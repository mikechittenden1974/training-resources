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hat These Mean" sheetId="2" state="visible" r:id="rId2"/>
    <sheet xmlns:r="http://schemas.openxmlformats.org/officeDocument/2006/relationships" name="Riverside_Monthly" sheetId="3" state="visible" r:id="rId3"/>
    <sheet xmlns:r="http://schemas.openxmlformats.org/officeDocument/2006/relationships" name="Task 1 - Forecasting" sheetId="4" state="visible" r:id="rId4"/>
    <sheet xmlns:r="http://schemas.openxmlformats.org/officeDocument/2006/relationships" name="Task 2 - Regression" sheetId="5" state="visible" r:id="rId5"/>
    <sheet xmlns:r="http://schemas.openxmlformats.org/officeDocument/2006/relationships" name="Task 3 - Predict" sheetId="6" state="visible" r:id="rId6"/>
    <sheet xmlns:r="http://schemas.openxmlformats.org/officeDocument/2006/relationships" name="Support" sheetId="7" state="visible" r:id="rId7"/>
    <sheet xmlns:r="http://schemas.openxmlformats.org/officeDocument/2006/relationships" name="Stretch" sheetId="8" state="visible" r:id="rId8"/>
    <sheet xmlns:r="http://schemas.openxmlformats.org/officeDocument/2006/relationships" name="Confid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color rgb="FFFFFFFF"/>
      <sz val="11"/>
    </font>
    <font>
      <name val="Calibri"/>
      <color rgb="FF000000"/>
      <sz val="11"/>
    </font>
    <font>
      <name val="Calibri"/>
      <b val="1"/>
      <color rgb="FF5B2A86"/>
      <sz val="10"/>
    </font>
    <font>
      <b val="1"/>
      <color rgb="FFFFFFFF"/>
    </font>
    <font>
      <name val="Calibri"/>
      <color rgb="FF000000"/>
      <sz val="10.5"/>
    </font>
    <font>
      <name val="Consolas"/>
      <color rgb="FF000000"/>
      <sz val="10.5"/>
    </font>
    <font>
      <name val="Calibri"/>
      <b val="1"/>
      <color rgb="FFB00020"/>
      <sz val="10"/>
    </font>
    <font>
      <name val="Calibri"/>
      <b val="1"/>
      <color rgb="FF5B2A86"/>
      <sz val="11"/>
    </font>
    <font>
      <sz val="11"/>
    </font>
    <font>
      <name val="Consolas"/>
      <color rgb="FF666666"/>
      <sz val="9.5"/>
    </font>
    <font>
      <b val="1"/>
      <sz val="11"/>
    </font>
    <font>
      <b val="1"/>
      <color rgb="FF5B2A86"/>
      <sz val="10.5"/>
    </font>
    <font>
      <sz val="10.5"/>
    </font>
    <font>
      <name val="Calibri"/>
      <b val="1"/>
      <color rgb="FF000000"/>
      <sz val="11"/>
    </font>
    <font>
      <b val="1"/>
      <color rgb="FF548235"/>
      <sz val="13"/>
    </font>
    <font>
      <b val="1"/>
      <color rgb="FF5B2A86"/>
      <sz val="12"/>
    </font>
  </fonts>
  <fills count="8">
    <fill>
      <patternFill/>
    </fill>
    <fill>
      <patternFill patternType="gray125"/>
    </fill>
    <fill>
      <patternFill patternType="solid">
        <fgColor rgb="FF5B2A86"/>
      </patternFill>
    </fill>
    <fill>
      <patternFill patternType="solid">
        <fgColor rgb="FF8E5BB5"/>
      </patternFill>
    </fill>
    <fill>
      <patternFill patternType="solid">
        <fgColor rgb="FFF1E9F7"/>
      </patternFill>
    </fill>
    <fill>
      <patternFill patternType="solid">
        <fgColor rgb="FFEDE4F5"/>
      </patternFill>
    </fill>
    <fill>
      <patternFill patternType="solid">
        <fgColor rgb="FFFBE9E7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C9B8DD"/>
      </left>
      <right style="thin">
        <color rgb="FFC9B8DD"/>
      </right>
      <top style="thin">
        <color rgb="FFC9B8DD"/>
      </top>
      <bottom style="thin">
        <color rgb="FFC9B8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3" fillId="0" borderId="0" applyAlignment="1" pivotButton="0" quotePrefix="0" xfId="0">
      <alignment vertical="top" wrapText="1" indent="1"/>
    </xf>
    <xf numFmtId="0" fontId="4" fillId="4" borderId="0" applyAlignment="1" pivotButton="0" quotePrefix="0" xfId="0">
      <alignment vertical="top" wrapText="1" indent="1"/>
    </xf>
    <xf numFmtId="0" fontId="0" fillId="4" borderId="0" pivotButton="0" quotePrefix="0" xfId="0"/>
    <xf numFmtId="0" fontId="5" fillId="2" borderId="0" applyAlignment="1" pivotButton="0" quotePrefix="0" xfId="0">
      <alignment indent="1"/>
    </xf>
    <xf numFmtId="0" fontId="6" fillId="0" borderId="0" applyAlignment="1" pivotButton="0" quotePrefix="0" xfId="0">
      <alignment vertical="top" wrapText="1" indent="1"/>
    </xf>
    <xf numFmtId="0" fontId="7" fillId="5" borderId="0" applyAlignment="1" pivotButton="0" quotePrefix="0" xfId="0">
      <alignment vertical="top" wrapText="1" indent="1"/>
    </xf>
    <xf numFmtId="0" fontId="0" fillId="5" borderId="0" pivotButton="0" quotePrefix="0" xfId="0"/>
    <xf numFmtId="0" fontId="8" fillId="6" borderId="0" applyAlignment="1" pivotButton="0" quotePrefix="0" xfId="0">
      <alignment vertical="top" wrapText="1" indent="1"/>
    </xf>
    <xf numFmtId="0" fontId="0" fillId="6" borderId="0" pivotButton="0" quotePrefix="0" xfId="0"/>
    <xf numFmtId="0" fontId="9" fillId="0" borderId="0" applyAlignment="1" pivotButton="0" quotePrefix="0" xfId="0">
      <alignment vertical="top" wrapText="1" indent="1"/>
    </xf>
    <xf numFmtId="0" fontId="5" fillId="2" borderId="0" applyAlignment="1" pivotButton="0" quotePrefix="0" xfId="0">
      <alignment vertical="center" wrapText="1" indent="1"/>
    </xf>
    <xf numFmtId="0" fontId="10" fillId="0" borderId="0" applyAlignment="1" pivotButton="0" quotePrefix="0" xfId="0">
      <alignment vertical="center" wrapText="1" indent="1"/>
    </xf>
    <xf numFmtId="0" fontId="11" fillId="0" borderId="0" applyAlignment="1" pivotButton="0" quotePrefix="0" xfId="0">
      <alignment vertical="center" wrapText="1" indent="1"/>
    </xf>
    <xf numFmtId="0" fontId="0" fillId="7" borderId="1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 indent="1"/>
    </xf>
    <xf numFmtId="0" fontId="14" fillId="0" borderId="0" applyAlignment="1" pivotButton="0" quotePrefix="0" xfId="0">
      <alignment vertical="top" wrapText="1" indent="1"/>
    </xf>
    <xf numFmtId="0" fontId="15" fillId="0" borderId="0" applyAlignment="1" pivotButton="0" quotePrefix="0" xfId="0">
      <alignment vertical="top" wrapText="1" indent="1"/>
    </xf>
    <xf numFmtId="0" fontId="0" fillId="0" borderId="1" pivotButton="0" quotePrefix="0" xfId="0"/>
    <xf numFmtId="0" fontId="5" fillId="2" borderId="0" pivotButton="0" quotePrefix="0" xfId="0"/>
    <xf numFmtId="0" fontId="0" fillId="7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5B2A86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</cols>
  <sheetData>
    <row r="1" ht="34" customHeight="1">
      <c r="A1" s="1" t="inlineStr">
        <is>
          <t>Regression &amp; Forecasting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Project a trend forward, and fit a straight line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64" customHeight="1">
      <c r="B4" s="5" t="inlineStr">
        <is>
          <t>So far you've described data as it IS. This drill looks AHEAD and at RELATIONSHIPS, using 12 months of Riverside history. You'll FORECAST where a trend is heading and fit a straight-line REGRESSION between two measures. Note: this goes a little beyond the core Level 3 standard — treat it as a confident extension. A forecast or a fitted line is an ESTIMATE, never a fact.</t>
        </is>
      </c>
    </row>
    <row r="10" ht="18" customHeight="1">
      <c r="B10" s="6" t="inlineStr">
        <is>
          <t>Two ideas</t>
        </is>
      </c>
      <c r="C10" s="7" t="n"/>
      <c r="D10" s="7" t="n"/>
      <c r="E10" s="7" t="n"/>
      <c r="F10" s="7" t="n"/>
      <c r="G10" s="7" t="n"/>
      <c r="H10" s="7" t="n"/>
      <c r="I10" s="7" t="n"/>
    </row>
    <row r="11" ht="34" customHeight="1">
      <c r="B11" s="5" t="inlineStr">
        <is>
          <t>•  FORECASTING — if numbers follow a trend over time, extend the trend to estimate a future value. FORECAST / TREND do the maths.</t>
        </is>
      </c>
    </row>
    <row r="13" ht="34" customHeight="1">
      <c r="B13" s="5" t="inlineStr">
        <is>
          <t>•  REGRESSION — when two measures move together, a straight line summarises the link. SLOPE = rise per +1 of X; INTERCEPT = where the line starts; R-squared (RSQ) = how well it fits (1.0 = perfect).</t>
        </is>
      </c>
    </row>
    <row r="16" ht="18" customHeight="1">
      <c r="B16" s="6" t="inlineStr">
        <is>
          <t>How this drill works</t>
        </is>
      </c>
      <c r="C16" s="7" t="n"/>
      <c r="D16" s="7" t="n"/>
      <c r="E16" s="7" t="n"/>
      <c r="F16" s="7" t="n"/>
      <c r="G16" s="7" t="n"/>
      <c r="H16" s="7" t="n"/>
      <c r="I16" s="7" t="n"/>
    </row>
    <row r="17" ht="16" customHeight="1">
      <c r="B17" s="5" t="inlineStr">
        <is>
          <t>•  The Riverside_Monthly tab holds 12 months of Members and Revenue.</t>
        </is>
      </c>
    </row>
    <row r="18" ht="16" customHeight="1">
      <c r="B18" s="5" t="inlineStr">
        <is>
          <t>•  Read 'What These Mean' so the numbers aren't a black box.</t>
        </is>
      </c>
    </row>
    <row r="19" ht="16" customHeight="1">
      <c r="B19" s="5" t="inlineStr">
        <is>
          <t>•  Type each formula in the amber cell — the Check marks it ✓ or ✗.</t>
        </is>
      </c>
    </row>
    <row r="20" ht="16" customHeight="1">
      <c r="B20" s="5" t="inlineStr">
        <is>
          <t>•  Always state how WELL a line fits (RSQ) and how far ahead you're projecting.</t>
        </is>
      </c>
    </row>
  </sheetData>
  <mergeCells count="9">
    <mergeCell ref="B18:I18"/>
    <mergeCell ref="B13:I13"/>
    <mergeCell ref="B11:I11"/>
    <mergeCell ref="B16:I16"/>
    <mergeCell ref="B20:I20"/>
    <mergeCell ref="B10:I10"/>
    <mergeCell ref="B19:I19"/>
    <mergeCell ref="B4:I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8B8B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</cols>
  <sheetData>
    <row r="1" ht="34" customHeight="1">
      <c r="A1" s="1" t="inlineStr">
        <is>
          <t>What These Mean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Plain-English meaning of each function — for the 'why' questions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18" customHeight="1">
      <c r="B4" s="6" t="inlineStr">
        <is>
          <t>FORECAST / TREND — EXTEND A TREND</t>
        </is>
      </c>
      <c r="C4" s="7" t="n"/>
      <c r="D4" s="7" t="n"/>
      <c r="E4" s="7" t="n"/>
      <c r="F4" s="7" t="n"/>
      <c r="G4" s="7" t="n"/>
      <c r="H4" s="7" t="n"/>
      <c r="I4" s="7" t="n"/>
    </row>
    <row r="5" ht="49" customHeight="1">
      <c r="B5" s="5" t="inlineStr">
        <is>
          <t>If members have risen fairly steadily, FORECAST(next, known_y, known_x) fits a line through the history and reads off where it lands next. It assumes the past trend continues — fine for a short step ahead, riskier the further out you go.</t>
        </is>
      </c>
    </row>
    <row r="10" ht="18" customHeight="1">
      <c r="B10" s="6" t="inlineStr">
        <is>
          <t>SLOPE — HOW FAST IT MOVES</t>
        </is>
      </c>
      <c r="C10" s="7" t="n"/>
      <c r="D10" s="7" t="n"/>
      <c r="E10" s="7" t="n"/>
      <c r="F10" s="7" t="n"/>
      <c r="G10" s="7" t="n"/>
      <c r="H10" s="7" t="n"/>
      <c r="I10" s="7" t="n"/>
    </row>
    <row r="11" ht="34" customHeight="1">
      <c r="B11" s="5" t="inlineStr">
        <is>
          <t>SLOPE(y, x) is the rise in Y for each +1 of X. For Revenue vs Members it answers 'how much revenue does one extra member bring?'. A bigger slope means a steeper relationship.</t>
        </is>
      </c>
    </row>
    <row r="15" ht="18" customHeight="1">
      <c r="B15" s="6" t="inlineStr">
        <is>
          <t>INTERCEPT — WHERE THE LINE STARTS</t>
        </is>
      </c>
      <c r="C15" s="7" t="n"/>
      <c r="D15" s="7" t="n"/>
      <c r="E15" s="7" t="n"/>
      <c r="F15" s="7" t="n"/>
      <c r="G15" s="7" t="n"/>
      <c r="H15" s="7" t="n"/>
      <c r="I15" s="7" t="n"/>
    </row>
    <row r="16" ht="34" customHeight="1">
      <c r="B16" s="5" t="inlineStr">
        <is>
          <t>INTERCEPT(y, x) is the value of Y when X is zero — where the line crosses the axis. With slope it gives the full line:  Y = SLOPE × X + INTERCEPT, which you use to predict.</t>
        </is>
      </c>
    </row>
    <row r="20" ht="18" customHeight="1">
      <c r="B20" s="6" t="inlineStr">
        <is>
          <t>R-SQUARED (RSQ) — HOW WELL IT FITS</t>
        </is>
      </c>
      <c r="C20" s="7" t="n"/>
      <c r="D20" s="7" t="n"/>
      <c r="E20" s="7" t="n"/>
      <c r="F20" s="7" t="n"/>
      <c r="G20" s="7" t="n"/>
      <c r="H20" s="7" t="n"/>
      <c r="I20" s="7" t="n"/>
    </row>
    <row r="21" ht="49" customHeight="1">
      <c r="B21" s="5" t="inlineStr">
        <is>
          <t>RSQ(y, x) runs 0 to 1 and says how much of the variation the line explains. Near 1 = points hug the line, the relationship is strong, predictions are trustworthy. Near 0 = scattered, the line means little. ALWAYS quote it alongside a prediction — a forecast without a fit measure is half an answer.</t>
        </is>
      </c>
    </row>
    <row r="26" ht="18" customHeight="1">
      <c r="B26" s="6" t="inlineStr">
        <is>
          <t>⚠  AN ESTIMATE, NOT A FACT</t>
        </is>
      </c>
      <c r="C26" s="7" t="n"/>
      <c r="D26" s="7" t="n"/>
      <c r="E26" s="7" t="n"/>
      <c r="F26" s="7" t="n"/>
      <c r="G26" s="7" t="n"/>
      <c r="H26" s="7" t="n"/>
      <c r="I26" s="7" t="n"/>
    </row>
    <row r="27" ht="34" customHeight="1">
      <c r="B27" s="5" t="inlineStr">
        <is>
          <t>A fitted line describes the data you have; it can't know about a price change or a new competitor. Project a short way, state the RSQ, and treat the number as a best estimate to inform a decision — not a guarantee.</t>
        </is>
      </c>
    </row>
  </sheetData>
  <mergeCells count="10">
    <mergeCell ref="B21:I21"/>
    <mergeCell ref="B15:I15"/>
    <mergeCell ref="B11:I11"/>
    <mergeCell ref="B16:I16"/>
    <mergeCell ref="B20:I20"/>
    <mergeCell ref="B10:I10"/>
    <mergeCell ref="B5:I5"/>
    <mergeCell ref="B27:I27"/>
    <mergeCell ref="B4:I4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B7E96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 ht="34" customHeight="1">
      <c r="A1" s="1" t="inlineStr">
        <is>
          <t>Riverside_Monthly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12 months of Members and Revenue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8" t="inlineStr">
        <is>
          <t>Month</t>
        </is>
      </c>
      <c r="B4" s="8" t="inlineStr">
        <is>
          <t>Members</t>
        </is>
      </c>
      <c r="C4" s="8" t="inlineStr">
        <is>
          <t>Revenue (£)</t>
        </is>
      </c>
    </row>
    <row r="5">
      <c r="A5" t="n">
        <v>1</v>
      </c>
      <c r="B5" t="n">
        <v>210</v>
      </c>
      <c r="C5" t="n">
        <v>4200</v>
      </c>
    </row>
    <row r="6">
      <c r="A6" t="n">
        <v>2</v>
      </c>
      <c r="B6" t="n">
        <v>225</v>
      </c>
      <c r="C6" t="n">
        <v>4500</v>
      </c>
    </row>
    <row r="7">
      <c r="A7" t="n">
        <v>3</v>
      </c>
      <c r="B7" t="n">
        <v>219</v>
      </c>
      <c r="C7" t="n">
        <v>4380</v>
      </c>
    </row>
    <row r="8">
      <c r="A8" t="n">
        <v>4</v>
      </c>
      <c r="B8" t="n">
        <v>240</v>
      </c>
      <c r="C8" t="n">
        <v>4790</v>
      </c>
    </row>
    <row r="9">
      <c r="A9" t="n">
        <v>5</v>
      </c>
      <c r="B9" t="n">
        <v>252</v>
      </c>
      <c r="C9" t="n">
        <v>5010</v>
      </c>
    </row>
    <row r="10">
      <c r="A10" t="n">
        <v>6</v>
      </c>
      <c r="B10" t="n">
        <v>248</v>
      </c>
      <c r="C10" t="n">
        <v>4950</v>
      </c>
    </row>
    <row r="11">
      <c r="A11" t="n">
        <v>7</v>
      </c>
      <c r="B11" t="n">
        <v>265</v>
      </c>
      <c r="C11" t="n">
        <v>5300</v>
      </c>
    </row>
    <row r="12">
      <c r="A12" t="n">
        <v>8</v>
      </c>
      <c r="B12" t="n">
        <v>271</v>
      </c>
      <c r="C12" t="n">
        <v>5450</v>
      </c>
    </row>
    <row r="13">
      <c r="A13" t="n">
        <v>9</v>
      </c>
      <c r="B13" t="n">
        <v>268</v>
      </c>
      <c r="C13" t="n">
        <v>5380</v>
      </c>
    </row>
    <row r="14">
      <c r="A14" t="n">
        <v>10</v>
      </c>
      <c r="B14" t="n">
        <v>285</v>
      </c>
      <c r="C14" t="n">
        <v>5700</v>
      </c>
    </row>
    <row r="15">
      <c r="A15" t="n">
        <v>11</v>
      </c>
      <c r="B15" t="n">
        <v>292</v>
      </c>
      <c r="C15" t="n">
        <v>5860</v>
      </c>
    </row>
    <row r="16">
      <c r="A16" t="n">
        <v>12</v>
      </c>
      <c r="B16" t="n">
        <v>300</v>
      </c>
      <c r="C16" t="n">
        <v>6010</v>
      </c>
    </row>
    <row r="18" ht="19" customHeight="1">
      <c r="B18" s="5" t="inlineStr">
        <is>
          <t>Month is column A (A5:A16), Members column B (B5:B16), Revenue column C (C5:C16). Data runs rows 5 to 16.</t>
        </is>
      </c>
    </row>
  </sheetData>
  <mergeCells count="1">
    <mergeCell ref="B18:I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B4BA8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28" customWidth="1" min="4" max="4"/>
    <col width="2" customWidth="1" min="5" max="5"/>
    <col width="14" customWidth="1" min="6" max="6"/>
    <col width="15" customWidth="1" min="7" max="7"/>
    <col width="4" customWidth="1" min="8" max="8"/>
  </cols>
  <sheetData>
    <row r="1" ht="34" customHeight="1">
      <c r="A1" s="1" t="inlineStr">
        <is>
          <t>Task 1 — Forecasting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Extend the trend to next month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18" customHeight="1">
      <c r="B4" s="6" t="inlineStr">
        <is>
          <t>WHAT IT DOES</t>
        </is>
      </c>
      <c r="C4" s="7" t="n"/>
      <c r="D4" s="7" t="n"/>
      <c r="E4" s="7" t="n"/>
      <c r="F4" s="7" t="n"/>
      <c r="G4" s="7" t="n"/>
      <c r="H4" s="7" t="n"/>
      <c r="I4" s="7" t="n"/>
    </row>
    <row r="5" ht="34" customHeight="1">
      <c r="B5" s="9" t="inlineStr">
        <is>
          <t>FORECAST(x, known_ys, known_xs) fits a line to the history and estimates Y at a new X. Here X is the month number, so month 13 is next month.</t>
        </is>
      </c>
    </row>
    <row r="7" ht="18" customHeight="1">
      <c r="B7" s="6" t="inlineStr">
        <is>
          <t>WORKED EXAMPLE</t>
        </is>
      </c>
      <c r="C7" s="7" t="n"/>
      <c r="D7" s="7" t="n"/>
      <c r="E7" s="7" t="n"/>
      <c r="F7" s="7" t="n"/>
      <c r="G7" s="7" t="n"/>
      <c r="H7" s="7" t="n"/>
      <c r="I7" s="7" t="n"/>
    </row>
    <row r="8" ht="19" customHeight="1">
      <c r="B8" s="10">
        <f>FORECAST(13, Riverside_Monthly!B5:B16, Riverside_Monthly!A5:A16)   →   next month's members</f>
        <v/>
      </c>
      <c r="C8" s="11" t="n"/>
      <c r="D8" s="11" t="n"/>
      <c r="E8" s="11" t="n"/>
      <c r="F8" s="11" t="n"/>
      <c r="G8" s="11" t="n"/>
      <c r="H8" s="11" t="n"/>
      <c r="I8" s="11" t="n"/>
    </row>
    <row r="10" ht="18" customHeight="1">
      <c r="B10" s="12" t="inlineStr">
        <is>
          <t>⚠  COMMON MISTAKE</t>
        </is>
      </c>
      <c r="C10" s="13" t="n"/>
      <c r="D10" s="13" t="n"/>
      <c r="E10" s="13" t="n"/>
      <c r="F10" s="13" t="n"/>
      <c r="G10" s="13" t="n"/>
      <c r="H10" s="13" t="n"/>
      <c r="I10" s="13" t="n"/>
    </row>
    <row r="11" ht="34" customHeight="1">
      <c r="B11" s="9" t="inlineStr">
        <is>
          <t>Putting the ranges the wrong way round (X and Y swapped) gives a nonsense answer. Order is (x, known_ys, known_xs).</t>
        </is>
      </c>
    </row>
    <row r="14" ht="18" customHeight="1">
      <c r="B14" s="14" t="inlineStr">
        <is>
          <t>Now you try — type your formula in the amber cell:</t>
        </is>
      </c>
    </row>
    <row r="15" ht="24" customHeight="1">
      <c r="B15" s="15" t="inlineStr">
        <is>
          <t>What to calculate</t>
        </is>
      </c>
      <c r="D15" s="15" t="inlineStr">
        <is>
          <t>Type this kind of formula</t>
        </is>
      </c>
      <c r="F15" s="15" t="inlineStr">
        <is>
          <t>Your result</t>
        </is>
      </c>
      <c r="G15" s="15" t="inlineStr">
        <is>
          <t>Check</t>
        </is>
      </c>
    </row>
    <row r="16" ht="30" customHeight="1">
      <c r="B16" s="16" t="inlineStr">
        <is>
          <t>Forecast MEMBERS for next month (month 13)</t>
        </is>
      </c>
      <c r="D16" s="17" t="inlineStr">
        <is>
          <t>e.g.  =FORECAST(13,'Riverside_Monthly'!$B$5:$B$16,'Riverside_Monthly'!$A$5:$A$16)</t>
        </is>
      </c>
      <c r="F16" s="18" t="n"/>
      <c r="G16" s="19">
        <f>IF(F16="","",IFERROR(IF(ABS(F16-307.82)&lt;1.0,"✓  Correct","✗  Try again"),"✗  Try again"))</f>
        <v/>
      </c>
    </row>
    <row r="17" ht="30" customHeight="1">
      <c r="B17" s="16" t="inlineStr">
        <is>
          <t>By how many members per month is the club growing? (SLOPE of Members vs Month)</t>
        </is>
      </c>
      <c r="D17" s="17" t="inlineStr">
        <is>
          <t>e.g.  =SLOPE('Riverside_Monthly'!$B$5:$B$16,'Riverside_Monthly'!$A$5:$A$16)</t>
        </is>
      </c>
      <c r="F17" s="18" t="n"/>
      <c r="G17" s="19">
        <f>IF(F17="","",IFERROR(IF(ABS(F17-7.93)&lt;0.2,"✓  Correct","✗  Try again"),"✗  Try again"))</f>
        <v/>
      </c>
    </row>
  </sheetData>
  <mergeCells count="7">
    <mergeCell ref="B7:I7"/>
    <mergeCell ref="B11:I11"/>
    <mergeCell ref="B10:I10"/>
    <mergeCell ref="B5:I5"/>
    <mergeCell ref="B14:I14"/>
    <mergeCell ref="B8:I8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B4BA8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28" customWidth="1" min="4" max="4"/>
    <col width="2" customWidth="1" min="5" max="5"/>
    <col width="14" customWidth="1" min="6" max="6"/>
    <col width="15" customWidth="1" min="7" max="7"/>
    <col width="4" customWidth="1" min="8" max="8"/>
  </cols>
  <sheetData>
    <row r="1" ht="34" customHeight="1">
      <c r="A1" s="1" t="inlineStr">
        <is>
          <t>Task 2 — Regression line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Fit Revenue against Members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18" customHeight="1">
      <c r="B4" s="6" t="inlineStr">
        <is>
          <t>WHAT IT DOES</t>
        </is>
      </c>
      <c r="C4" s="7" t="n"/>
      <c r="D4" s="7" t="n"/>
      <c r="E4" s="7" t="n"/>
      <c r="F4" s="7" t="n"/>
      <c r="G4" s="7" t="n"/>
      <c r="H4" s="7" t="n"/>
      <c r="I4" s="7" t="n"/>
    </row>
    <row r="5" ht="34" customHeight="1">
      <c r="B5" s="9" t="inlineStr">
        <is>
          <t>SLOPE, INTERCEPT and RSQ describe the straight line linking two measures. Put Revenue as Y and Members as X to ask 'what does each extra member bring, and how tight is the link?'.</t>
        </is>
      </c>
    </row>
    <row r="7" ht="18" customHeight="1">
      <c r="B7" s="6" t="inlineStr">
        <is>
          <t>WORKED EXAMPLE</t>
        </is>
      </c>
      <c r="C7" s="7" t="n"/>
      <c r="D7" s="7" t="n"/>
      <c r="E7" s="7" t="n"/>
      <c r="F7" s="7" t="n"/>
      <c r="G7" s="7" t="n"/>
      <c r="H7" s="7" t="n"/>
      <c r="I7" s="7" t="n"/>
    </row>
    <row r="8" ht="19" customHeight="1">
      <c r="B8" s="10">
        <f>SLOPE(Rev,Members)  ·  =INTERCEPT(Rev,Members)  ·  =RSQ(Rev,Members)</f>
        <v/>
      </c>
      <c r="C8" s="11" t="n"/>
      <c r="D8" s="11" t="n"/>
      <c r="E8" s="11" t="n"/>
      <c r="F8" s="11" t="n"/>
      <c r="G8" s="11" t="n"/>
      <c r="H8" s="11" t="n"/>
      <c r="I8" s="11" t="n"/>
    </row>
    <row r="10" ht="18" customHeight="1">
      <c r="B10" s="12" t="inlineStr">
        <is>
          <t>⚠  COMMON MISTAKE</t>
        </is>
      </c>
      <c r="C10" s="13" t="n"/>
      <c r="D10" s="13" t="n"/>
      <c r="E10" s="13" t="n"/>
      <c r="F10" s="13" t="n"/>
      <c r="G10" s="13" t="n"/>
      <c r="H10" s="13" t="n"/>
      <c r="I10" s="13" t="n"/>
    </row>
    <row r="11" ht="34" customHeight="1">
      <c r="B11" s="9" t="inlineStr">
        <is>
          <t>Y and X order matters: SLOPE(known_ys, known_xs). Revenue (the thing explained) is Y; Members (the driver) is X.</t>
        </is>
      </c>
    </row>
    <row r="14" ht="18" customHeight="1">
      <c r="B14" s="14" t="inlineStr">
        <is>
          <t>Now you try — type your formula in the amber cell:</t>
        </is>
      </c>
    </row>
    <row r="15" ht="24" customHeight="1">
      <c r="B15" s="15" t="inlineStr">
        <is>
          <t>What to calculate</t>
        </is>
      </c>
      <c r="D15" s="15" t="inlineStr">
        <is>
          <t>Type this kind of formula</t>
        </is>
      </c>
      <c r="F15" s="15" t="inlineStr">
        <is>
          <t>Your result</t>
        </is>
      </c>
      <c r="G15" s="15" t="inlineStr">
        <is>
          <t>Check</t>
        </is>
      </c>
    </row>
    <row r="16" ht="30" customHeight="1">
      <c r="B16" s="16" t="inlineStr">
        <is>
          <t>Revenue gained per EXTRA member (£) — SLOPE of Revenue vs Members</t>
        </is>
      </c>
      <c r="D16" s="17" t="inlineStr">
        <is>
          <t>e.g.  =SLOPE('Riverside_Monthly'!$C$5:$C$16,'Riverside_Monthly'!$B$5:$B$16)</t>
        </is>
      </c>
      <c r="F16" s="18" t="n"/>
      <c r="G16" s="19">
        <f>IF(F16="","",IFERROR(IF(ABS(F16-20.24)&lt;0.5,"✓  Correct","✗  Try again"),"✗  Try again"))</f>
        <v/>
      </c>
    </row>
    <row r="17" ht="30" customHeight="1">
      <c r="B17" s="16" t="inlineStr">
        <is>
          <t>INTERCEPT of Revenue vs Members (£)</t>
        </is>
      </c>
      <c r="D17" s="17" t="inlineStr">
        <is>
          <t>e.g.  =INTERCEPT('Riverside_Monthly'!$C$5:$C$16,'Riverside_Monthly'!$B$5:$B$16)</t>
        </is>
      </c>
      <c r="F17" s="18" t="n"/>
      <c r="G17" s="19">
        <f>IF(F17="","",IFERROR(IF(ABS(F17--58.16)&lt;5.0,"✓  Correct","✗  Try again"),"✗  Try again"))</f>
        <v/>
      </c>
    </row>
    <row r="18" ht="30" customHeight="1">
      <c r="B18" s="16" t="inlineStr">
        <is>
          <t>How well does the line fit? R-squared (RSQ)</t>
        </is>
      </c>
      <c r="D18" s="17" t="inlineStr">
        <is>
          <t>e.g.  =RSQ('Riverside_Monthly'!$C$5:$C$16,'Riverside_Monthly'!$B$5:$B$16)</t>
        </is>
      </c>
      <c r="F18" s="18" t="n"/>
      <c r="G18" s="19">
        <f>IF(F18="","",IFERROR(IF(ABS(F18-0.999)&lt;0.01,"✓  Correct","✗  Try again"),"✗  Try again"))</f>
        <v/>
      </c>
    </row>
  </sheetData>
  <mergeCells count="7">
    <mergeCell ref="B7:I7"/>
    <mergeCell ref="B11:I11"/>
    <mergeCell ref="B10:I10"/>
    <mergeCell ref="B5:I5"/>
    <mergeCell ref="B14:I14"/>
    <mergeCell ref="B8:I8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B4BA8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28" customWidth="1" min="4" max="4"/>
    <col width="2" customWidth="1" min="5" max="5"/>
    <col width="14" customWidth="1" min="6" max="6"/>
    <col width="15" customWidth="1" min="7" max="7"/>
    <col width="4" customWidth="1" min="8" max="8"/>
  </cols>
  <sheetData>
    <row r="1" ht="34" customHeight="1">
      <c r="A1" s="1" t="inlineStr">
        <is>
          <t>Task 3 — Predict &amp; judge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Use the line, then weigh how much to trust it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18" customHeight="1">
      <c r="B4" s="6" t="inlineStr">
        <is>
          <t>WHAT IT DOES</t>
        </is>
      </c>
      <c r="C4" s="7" t="n"/>
      <c r="D4" s="7" t="n"/>
      <c r="E4" s="7" t="n"/>
      <c r="F4" s="7" t="n"/>
      <c r="G4" s="7" t="n"/>
      <c r="H4" s="7" t="n"/>
      <c r="I4" s="7" t="n"/>
    </row>
    <row r="5" ht="34" customHeight="1">
      <c r="B5" s="9" t="inlineStr">
        <is>
          <t>With the line Y = SLOPE×X + INTERCEPT you can predict revenue for any membership. FORECAST does it in one step. Then judge the prediction against the RSQ and how far beyond the data you're reaching.</t>
        </is>
      </c>
    </row>
    <row r="7" ht="18" customHeight="1">
      <c r="B7" s="6" t="inlineStr">
        <is>
          <t>WORKED EXAMPLE</t>
        </is>
      </c>
      <c r="C7" s="7" t="n"/>
      <c r="D7" s="7" t="n"/>
      <c r="E7" s="7" t="n"/>
      <c r="F7" s="7" t="n"/>
      <c r="G7" s="7" t="n"/>
      <c r="H7" s="7" t="n"/>
      <c r="I7" s="7" t="n"/>
    </row>
    <row r="8" ht="19" customHeight="1">
      <c r="B8" s="10">
        <f>FORECAST(310, Revenue, Members)   →   predicted revenue at 310 members</f>
        <v/>
      </c>
      <c r="C8" s="11" t="n"/>
      <c r="D8" s="11" t="n"/>
      <c r="E8" s="11" t="n"/>
      <c r="F8" s="11" t="n"/>
      <c r="G8" s="11" t="n"/>
      <c r="H8" s="11" t="n"/>
      <c r="I8" s="11" t="n"/>
    </row>
    <row r="10" ht="18" customHeight="1">
      <c r="B10" s="12" t="inlineStr">
        <is>
          <t>⚠  COMMON MISTAKE</t>
        </is>
      </c>
      <c r="C10" s="13" t="n"/>
      <c r="D10" s="13" t="n"/>
      <c r="E10" s="13" t="n"/>
      <c r="F10" s="13" t="n"/>
      <c r="G10" s="13" t="n"/>
      <c r="H10" s="13" t="n"/>
      <c r="I10" s="13" t="n"/>
    </row>
    <row r="11" ht="34" customHeight="1">
      <c r="B11" s="9" t="inlineStr">
        <is>
          <t>Predicting far outside the data (e.g. 1000 members from a 210–300 range) is extrapolation — the trend may not hold. Stay close to the data.</t>
        </is>
      </c>
    </row>
    <row r="14" ht="18" customHeight="1">
      <c r="B14" s="14" t="inlineStr">
        <is>
          <t>Now you try — type your formula in the amber cell:</t>
        </is>
      </c>
    </row>
    <row r="15" ht="24" customHeight="1">
      <c r="B15" s="15" t="inlineStr">
        <is>
          <t>What to calculate</t>
        </is>
      </c>
      <c r="D15" s="15" t="inlineStr">
        <is>
          <t>Type this kind of formula</t>
        </is>
      </c>
      <c r="F15" s="15" t="inlineStr">
        <is>
          <t>Your result</t>
        </is>
      </c>
      <c r="G15" s="15" t="inlineStr">
        <is>
          <t>Check</t>
        </is>
      </c>
    </row>
    <row r="16" ht="30" customHeight="1">
      <c r="B16" s="16" t="inlineStr">
        <is>
          <t>Predict REVENUE for a month with 310 members (£)</t>
        </is>
      </c>
      <c r="D16" s="17" t="inlineStr">
        <is>
          <t>e.g.  =FORECAST(310,'Riverside_Monthly'!$C$5:$C$16,'Riverside_Monthly'!$B$5:$B$16)</t>
        </is>
      </c>
      <c r="F16" s="18" t="n"/>
      <c r="G16" s="19">
        <f>IF(F16="","",IFERROR(IF(ABS(F16-6215.22)&lt;3.0,"✓  Correct","✗  Try again"),"✗  Try again"))</f>
        <v/>
      </c>
    </row>
    <row r="17" ht="30" customHeight="1">
      <c r="B17" s="16" t="inlineStr">
        <is>
          <t>Strength of the link — CORREL of Revenue and Members</t>
        </is>
      </c>
      <c r="D17" s="17" t="inlineStr">
        <is>
          <t>e.g.  =CORREL('Riverside_Monthly'!$C$5:$C$16,'Riverside_Monthly'!$B$5:$B$16)</t>
        </is>
      </c>
      <c r="F17" s="18" t="n"/>
      <c r="G17" s="19">
        <f>IF(F17="","",IFERROR(IF(ABS(F17-1.0)&lt;0.01,"✓  Correct","✗  Try again"),"✗  Try again"))</f>
        <v/>
      </c>
    </row>
  </sheetData>
  <mergeCells count="7">
    <mergeCell ref="B7:I7"/>
    <mergeCell ref="B11:I11"/>
    <mergeCell ref="B10:I10"/>
    <mergeCell ref="B5:I5"/>
    <mergeCell ref="B14:I14"/>
    <mergeCell ref="B8:I8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548235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</cols>
  <sheetData>
    <row r="1" ht="34" customHeight="1">
      <c r="A1" s="1" t="inlineStr">
        <is>
          <t>Support — your glossary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Forecasting &amp; regression terms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18" customHeight="1">
      <c r="B4" s="5" t="inlineStr">
        <is>
          <t>Always pair a prediction with its fit (RSQ) and a note on how far ahead you're projecting.</t>
        </is>
      </c>
    </row>
    <row r="6" ht="34" customHeight="1">
      <c r="B6" s="20" t="inlineStr">
        <is>
          <t>FORECAST / TREND</t>
        </is>
      </c>
      <c r="C6" s="21" t="inlineStr">
        <is>
          <t>Estimate Y at a new X by extending the fitted line. FORECAST(x, known_ys, known_xs).</t>
        </is>
      </c>
    </row>
    <row r="7" ht="19" customHeight="1">
      <c r="B7" s="20" t="inlineStr">
        <is>
          <t>SLOPE</t>
        </is>
      </c>
      <c r="C7" s="21" t="inlineStr">
        <is>
          <t>Rise in Y per +1 of X. SLOPE(known_ys, known_xs).</t>
        </is>
      </c>
    </row>
    <row r="8" ht="19" customHeight="1">
      <c r="B8" s="20" t="inlineStr">
        <is>
          <t>INTERCEPT</t>
        </is>
      </c>
      <c r="C8" s="21" t="inlineStr">
        <is>
          <t>Y when X = 0; where the line starts. INTERCEPT(known_ys, known_xs).</t>
        </is>
      </c>
    </row>
    <row r="9" ht="19" customHeight="1">
      <c r="B9" s="20" t="inlineStr">
        <is>
          <t>Line equation</t>
        </is>
      </c>
      <c r="C9" s="21" t="inlineStr">
        <is>
          <t>Y = SLOPE × X + INTERCEPT. Use it to predict.</t>
        </is>
      </c>
    </row>
    <row r="10" ht="19" customHeight="1">
      <c r="B10" s="20" t="inlineStr">
        <is>
          <t>RSQ (R-squared)</t>
        </is>
      </c>
      <c r="C10" s="21" t="inlineStr">
        <is>
          <t>0–1 fit measure: how much variation the line explains. Near 1 = strong.</t>
        </is>
      </c>
    </row>
    <row r="11" ht="19" customHeight="1">
      <c r="B11" s="20" t="inlineStr">
        <is>
          <t>CORREL</t>
        </is>
      </c>
      <c r="C11" s="21" t="inlineStr">
        <is>
          <t>-1 to 1 strength/direction of the link. CORREL squared = RSQ.</t>
        </is>
      </c>
    </row>
    <row r="12" ht="19" customHeight="1">
      <c r="B12" s="20" t="inlineStr">
        <is>
          <t>Extrapolation</t>
        </is>
      </c>
      <c r="C12" s="21" t="inlineStr">
        <is>
          <t>Predicting beyond the data range. Riskier the further out you go.</t>
        </is>
      </c>
    </row>
    <row r="13" ht="19" customHeight="1">
      <c r="B13" s="20" t="inlineStr">
        <is>
          <t>Estimate not fact</t>
        </is>
      </c>
      <c r="C13" s="21" t="inlineStr">
        <is>
          <t>A forecast informs a decision; always state the fit and how far ahead.</t>
        </is>
      </c>
    </row>
  </sheetData>
  <mergeCells count="9">
    <mergeCell ref="C13:I13"/>
    <mergeCell ref="C9:I9"/>
    <mergeCell ref="C8:I8"/>
    <mergeCell ref="C12:I12"/>
    <mergeCell ref="C6:I6"/>
    <mergeCell ref="C7:I7"/>
    <mergeCell ref="C10:I10"/>
    <mergeCell ref="C11:I11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3F1D5E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</cols>
  <sheetData>
    <row r="1" ht="34" customHeight="1">
      <c r="A1" s="1" t="inlineStr">
        <is>
          <t>Stretch — go further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Judgement on estimates. Jot a plan in each amber cell.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18" customHeight="1">
      <c r="B4" s="5" t="inlineStr">
        <is>
          <t>If you can answer these aloud, you can use a forecast responsibly, not blindly.</t>
        </is>
      </c>
    </row>
    <row r="6" ht="18" customHeight="1">
      <c r="B6" s="6" t="inlineStr">
        <is>
          <t>Stretch 1</t>
        </is>
      </c>
      <c r="C6" s="7" t="n"/>
      <c r="D6" s="7" t="n"/>
      <c r="E6" s="7" t="n"/>
      <c r="F6" s="7" t="n"/>
      <c r="G6" s="7" t="n"/>
      <c r="H6" s="7" t="n"/>
      <c r="I6" s="7" t="n"/>
    </row>
    <row r="7" ht="19" customHeight="1">
      <c r="B7" s="22" t="inlineStr">
        <is>
          <t>Your RSQ is 0.95. What does that let you say about the prediction — and what does it NOT promise?</t>
        </is>
      </c>
    </row>
    <row r="8" ht="18" customHeight="1">
      <c r="B8" s="18" t="n"/>
      <c r="C8" s="23" t="n"/>
      <c r="D8" s="23" t="n"/>
      <c r="E8" s="23" t="n"/>
      <c r="F8" s="23" t="n"/>
      <c r="G8" s="23" t="n"/>
      <c r="H8" s="23" t="n"/>
      <c r="I8" s="23" t="n"/>
    </row>
    <row r="9" ht="18" customHeight="1">
      <c r="B9" s="23" t="n"/>
      <c r="C9" s="23" t="n"/>
      <c r="D9" s="23" t="n"/>
      <c r="E9" s="23" t="n"/>
      <c r="F9" s="23" t="n"/>
      <c r="G9" s="23" t="n"/>
      <c r="H9" s="23" t="n"/>
      <c r="I9" s="23" t="n"/>
    </row>
    <row r="10" ht="18" customHeight="1">
      <c r="B10" s="23" t="n"/>
      <c r="C10" s="23" t="n"/>
      <c r="D10" s="23" t="n"/>
      <c r="E10" s="23" t="n"/>
      <c r="F10" s="23" t="n"/>
      <c r="G10" s="23" t="n"/>
      <c r="H10" s="23" t="n"/>
      <c r="I10" s="23" t="n"/>
    </row>
    <row r="12" ht="18" customHeight="1">
      <c r="B12" s="6" t="inlineStr">
        <is>
          <t>Stretch 2</t>
        </is>
      </c>
      <c r="C12" s="7" t="n"/>
      <c r="D12" s="7" t="n"/>
      <c r="E12" s="7" t="n"/>
      <c r="F12" s="7" t="n"/>
      <c r="G12" s="7" t="n"/>
      <c r="H12" s="7" t="n"/>
      <c r="I12" s="7" t="n"/>
    </row>
    <row r="13" ht="19" customHeight="1">
      <c r="B13" s="22" t="inlineStr">
        <is>
          <t>Would you trust a forecast of members for month 13? For month 36? Explain the difference.</t>
        </is>
      </c>
    </row>
    <row r="14" ht="18" customHeight="1">
      <c r="B14" s="18" t="n"/>
      <c r="C14" s="23" t="n"/>
      <c r="D14" s="23" t="n"/>
      <c r="E14" s="23" t="n"/>
      <c r="F14" s="23" t="n"/>
      <c r="G14" s="23" t="n"/>
      <c r="H14" s="23" t="n"/>
      <c r="I14" s="23" t="n"/>
    </row>
    <row r="15" ht="18" customHeight="1">
      <c r="B15" s="23" t="n"/>
      <c r="C15" s="23" t="n"/>
      <c r="D15" s="23" t="n"/>
      <c r="E15" s="23" t="n"/>
      <c r="F15" s="23" t="n"/>
      <c r="G15" s="23" t="n"/>
      <c r="H15" s="23" t="n"/>
      <c r="I15" s="23" t="n"/>
    </row>
    <row r="16" ht="18" customHeight="1">
      <c r="B16" s="23" t="n"/>
      <c r="C16" s="23" t="n"/>
      <c r="D16" s="23" t="n"/>
      <c r="E16" s="23" t="n"/>
      <c r="F16" s="23" t="n"/>
      <c r="G16" s="23" t="n"/>
      <c r="H16" s="23" t="n"/>
      <c r="I16" s="23" t="n"/>
    </row>
    <row r="18" ht="18" customHeight="1">
      <c r="B18" s="6" t="inlineStr">
        <is>
          <t>Stretch 3</t>
        </is>
      </c>
      <c r="C18" s="7" t="n"/>
      <c r="D18" s="7" t="n"/>
      <c r="E18" s="7" t="n"/>
      <c r="F18" s="7" t="n"/>
      <c r="G18" s="7" t="n"/>
      <c r="H18" s="7" t="n"/>
      <c r="I18" s="7" t="n"/>
    </row>
    <row r="19" ht="19" customHeight="1">
      <c r="B19" s="22" t="inlineStr">
        <is>
          <t>Revenue per extra member is about £18. How would you explain that figure to a club manager?</t>
        </is>
      </c>
    </row>
    <row r="20" ht="18" customHeight="1">
      <c r="B20" s="18" t="n"/>
      <c r="C20" s="23" t="n"/>
      <c r="D20" s="23" t="n"/>
      <c r="E20" s="23" t="n"/>
      <c r="F20" s="23" t="n"/>
      <c r="G20" s="23" t="n"/>
      <c r="H20" s="23" t="n"/>
      <c r="I20" s="23" t="n"/>
    </row>
    <row r="21" ht="18" customHeight="1">
      <c r="B21" s="23" t="n"/>
      <c r="C21" s="23" t="n"/>
      <c r="D21" s="23" t="n"/>
      <c r="E21" s="23" t="n"/>
      <c r="F21" s="23" t="n"/>
      <c r="G21" s="23" t="n"/>
      <c r="H21" s="23" t="n"/>
      <c r="I21" s="23" t="n"/>
    </row>
    <row r="22" ht="18" customHeight="1"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4" ht="18" customHeight="1">
      <c r="B24" s="6" t="inlineStr">
        <is>
          <t>Stretch 4</t>
        </is>
      </c>
      <c r="C24" s="7" t="n"/>
      <c r="D24" s="7" t="n"/>
      <c r="E24" s="7" t="n"/>
      <c r="F24" s="7" t="n"/>
      <c r="G24" s="7" t="n"/>
      <c r="H24" s="7" t="n"/>
      <c r="I24" s="7" t="n"/>
    </row>
    <row r="25" ht="19" customHeight="1">
      <c r="B25" s="22" t="inlineStr">
        <is>
          <t>Name one real-world event that could break your trend, and what you'd do when it does.</t>
        </is>
      </c>
    </row>
    <row r="26" ht="18" customHeight="1">
      <c r="B26" s="18" t="n"/>
      <c r="C26" s="23" t="n"/>
      <c r="D26" s="23" t="n"/>
      <c r="E26" s="23" t="n"/>
      <c r="F26" s="23" t="n"/>
      <c r="G26" s="23" t="n"/>
      <c r="H26" s="23" t="n"/>
      <c r="I26" s="23" t="n"/>
    </row>
    <row r="27" ht="18" customHeight="1"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 ht="18" customHeight="1">
      <c r="B28" s="23" t="n"/>
      <c r="C28" s="23" t="n"/>
      <c r="D28" s="23" t="n"/>
      <c r="E28" s="23" t="n"/>
      <c r="F28" s="23" t="n"/>
      <c r="G28" s="23" t="n"/>
      <c r="H28" s="23" t="n"/>
      <c r="I28" s="23" t="n"/>
    </row>
  </sheetData>
  <mergeCells count="13">
    <mergeCell ref="B12:I12"/>
    <mergeCell ref="B13:I13"/>
    <mergeCell ref="B18:I18"/>
    <mergeCell ref="B20:I22"/>
    <mergeCell ref="B26:I28"/>
    <mergeCell ref="B7:I7"/>
    <mergeCell ref="B25:I25"/>
    <mergeCell ref="B6:I6"/>
    <mergeCell ref="B24:I24"/>
    <mergeCell ref="B8:I10"/>
    <mergeCell ref="B14:I16"/>
    <mergeCell ref="B19:I19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BF8F00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2" customWidth="1" min="4" max="4"/>
    <col width="12" customWidth="1" min="5" max="5"/>
    <col width="12" customWidth="1" min="6" max="6"/>
    <col width="5" customWidth="1" min="7" max="7"/>
    <col width="12" customWidth="1" min="8" max="8"/>
    <col width="4" customWidth="1" min="9" max="9"/>
  </cols>
  <sheetData>
    <row r="1" ht="34" customHeight="1">
      <c r="A1" s="1" t="inlineStr">
        <is>
          <t>Confidence check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Tick each box you can honestly do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19" customHeight="1">
      <c r="B4" s="5" t="inlineStr">
        <is>
          <t>Type x in each amber box you can tick. When all are ticked, you can forecast and fit a line — and judge it.</t>
        </is>
      </c>
    </row>
    <row r="6">
      <c r="B6" s="8" t="inlineStr">
        <is>
          <t>Tick</t>
        </is>
      </c>
      <c r="C6" s="8" t="inlineStr">
        <is>
          <t>I can…</t>
        </is>
      </c>
      <c r="G6" s="24" t="inlineStr">
        <is>
          <t>✓</t>
        </is>
      </c>
    </row>
    <row r="7" ht="20" customHeight="1">
      <c r="B7" s="25" t="n"/>
      <c r="C7" s="16" t="inlineStr">
        <is>
          <t>forecast a future value from a trend (FORECAST / TREND)</t>
        </is>
      </c>
      <c r="G7" s="26">
        <f>IF(LOWER(B7)="x","✓","")</f>
        <v/>
      </c>
    </row>
    <row r="8" ht="20" customHeight="1">
      <c r="B8" s="25" t="n"/>
      <c r="C8" s="16" t="inlineStr">
        <is>
          <t>find SLOPE and INTERCEPT and write the line equation</t>
        </is>
      </c>
      <c r="G8" s="26">
        <f>IF(LOWER(B8)="x","✓","")</f>
        <v/>
      </c>
    </row>
    <row r="9" ht="20" customHeight="1">
      <c r="B9" s="25" t="n"/>
      <c r="C9" s="16" t="inlineStr">
        <is>
          <t>read R-squared and say how well the line fits</t>
        </is>
      </c>
      <c r="G9" s="26">
        <f>IF(LOWER(B9)="x","✓","")</f>
        <v/>
      </c>
    </row>
    <row r="10" ht="20" customHeight="1">
      <c r="B10" s="25" t="n"/>
      <c r="C10" s="16" t="inlineStr">
        <is>
          <t>predict Y for a given X and judge how far to trust it</t>
        </is>
      </c>
      <c r="G10" s="26">
        <f>IF(LOWER(B10)="x","✓","")</f>
        <v/>
      </c>
    </row>
    <row r="11" ht="20" customHeight="1">
      <c r="B11" s="25" t="n"/>
      <c r="C11" s="16" t="inlineStr">
        <is>
          <t>explain that a forecast is an estimate, not a fact</t>
        </is>
      </c>
      <c r="G11" s="26">
        <f>IF(LOWER(B11)="x","✓","")</f>
        <v/>
      </c>
    </row>
    <row r="13" ht="24" customHeight="1">
      <c r="C13" s="27">
        <f>IF(COUNTIF(B7:B11,"x")=5,"All ticked — you can forecast and fit. Take it onto real data.","Keep going — "&amp;(5-COUNTIF(B7:B11,"x"))&amp;" to go.")</f>
        <v/>
      </c>
    </row>
  </sheetData>
  <mergeCells count="8">
    <mergeCell ref="C9:F9"/>
    <mergeCell ref="C8:F8"/>
    <mergeCell ref="C13:H13"/>
    <mergeCell ref="C6:F6"/>
    <mergeCell ref="C7:F7"/>
    <mergeCell ref="C11:F11"/>
    <mergeCell ref="C10:F10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2026-06-23T23:12:23Z</dcterms:created>
  <dcterms:modified xmlns:dcterms="http://purl.org/dc/terms/" xmlns:xsi="http://www.w3.org/2001/XMLSchema-instance" xsi:type="dcterms:W3CDTF">2026-06-23T23:12:23Z</dcterms:modified>
</cp:coreProperties>
</file>