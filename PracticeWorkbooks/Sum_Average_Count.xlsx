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Exercises" sheetId="2" state="visible" r:id="rId4"/>
    <sheet name="Answer Key" sheetId="3" state="visible" r:id="rId5"/>
  </sheets>
  <definedNames>
    <definedName function="false" hidden="true" localSheetId="0" name="_xlnm._FilterDatabase" vbProcedure="false">Data!$A$1:$J$181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<sst xmlns="http://schemas.openxmlformats.org/spreadsheetml/2006/main" count="1194" uniqueCount="146">
  <si>
    <t xml:space="preserve">Order ID</t>
  </si>
  <si>
    <t xml:space="preserve">Month</t>
  </si>
  <si>
    <t xml:space="preserve">Region</t>
  </si>
  <si>
    <t xml:space="preserve">Channel</t>
  </si>
  <si>
    <t xml:space="preserve">Category</t>
  </si>
  <si>
    <t xml:space="preserve">Product</t>
  </si>
  <si>
    <t xml:space="preserve">Salesperson</t>
  </si>
  <si>
    <t xml:space="preserve">Quantity</t>
  </si>
  <si>
    <t xml:space="preserve">Unit Price (£)</t>
  </si>
  <si>
    <t xml:space="preserve">Revenue (£)</t>
  </si>
  <si>
    <t xml:space="preserve">Feb</t>
  </si>
  <si>
    <t xml:space="preserve">South</t>
  </si>
  <si>
    <t xml:space="preserve">Online</t>
  </si>
  <si>
    <t xml:space="preserve">Electronics</t>
  </si>
  <si>
    <t xml:space="preserve">Headphones</t>
  </si>
  <si>
    <t xml:space="preserve">Brown</t>
  </si>
  <si>
    <t xml:space="preserve">Sports</t>
  </si>
  <si>
    <t xml:space="preserve">Running Shoes</t>
  </si>
  <si>
    <t xml:space="preserve">Davies</t>
  </si>
  <si>
    <t xml:space="preserve">Mar</t>
  </si>
  <si>
    <t xml:space="preserve">North</t>
  </si>
  <si>
    <t xml:space="preserve">Gupta</t>
  </si>
  <si>
    <t xml:space="preserve">Jan</t>
  </si>
  <si>
    <t xml:space="preserve">In-Store</t>
  </si>
  <si>
    <t xml:space="preserve">Home</t>
  </si>
  <si>
    <t xml:space="preserve">Mug Set</t>
  </si>
  <si>
    <t xml:space="preserve">Jun</t>
  </si>
  <si>
    <t xml:space="preserve">West</t>
  </si>
  <si>
    <t xml:space="preserve">Tablet</t>
  </si>
  <si>
    <t xml:space="preserve">Adams</t>
  </si>
  <si>
    <t xml:space="preserve">Clothing</t>
  </si>
  <si>
    <t xml:space="preserve">Jeans</t>
  </si>
  <si>
    <t xml:space="preserve">Hughes</t>
  </si>
  <si>
    <t xml:space="preserve">East</t>
  </si>
  <si>
    <t xml:space="preserve">Cushion</t>
  </si>
  <si>
    <t xml:space="preserve">Chen</t>
  </si>
  <si>
    <t xml:space="preserve">Dumbbells</t>
  </si>
  <si>
    <t xml:space="preserve">T-Shirt</t>
  </si>
  <si>
    <t xml:space="preserve">Flores</t>
  </si>
  <si>
    <t xml:space="preserve">Apr</t>
  </si>
  <si>
    <t xml:space="preserve">Trainers</t>
  </si>
  <si>
    <t xml:space="preserve">May</t>
  </si>
  <si>
    <t xml:space="preserve">Yoga Mat</t>
  </si>
  <si>
    <t xml:space="preserve">Water Bottle</t>
  </si>
  <si>
    <t xml:space="preserve">Toys</t>
  </si>
  <si>
    <t xml:space="preserve">Puzzle</t>
  </si>
  <si>
    <t xml:space="preserve">Evans</t>
  </si>
  <si>
    <t xml:space="preserve">Charger</t>
  </si>
  <si>
    <t xml:space="preserve">Throw</t>
  </si>
  <si>
    <t xml:space="preserve">Lamp</t>
  </si>
  <si>
    <t xml:space="preserve">Smart Speaker</t>
  </si>
  <si>
    <t xml:space="preserve">Action Figure</t>
  </si>
  <si>
    <t xml:space="preserve">Building Set</t>
  </si>
  <si>
    <t xml:space="preserve">Board Game</t>
  </si>
  <si>
    <t xml:space="preserve">Jacket</t>
  </si>
  <si>
    <t xml:space="preserve">Pivot Table &amp; Function Exercises — Retail Sales</t>
  </si>
  <si>
    <t xml:space="preserve">Use the 'Data' sheet. Write your answer (value or formula) in the amber column. Answers are on the 'Answer Key' tab.</t>
  </si>
  <si>
    <t xml:space="preserve">Your answer</t>
  </si>
  <si>
    <t xml:space="preserve">COUNT  —  counting rows and values</t>
  </si>
  <si>
    <t xml:space="preserve">How many orders are in the dataset in total? (Hint: COUNT works on numbers — use the Order ID or Quantity column.)</t>
  </si>
  <si>
    <t xml:space="preserve">How many orders have a recorded Unit Price? Use COUNT on the Unit Price column.</t>
  </si>
  <si>
    <t xml:space="preserve">COUNTIF  —  counting with ONE condition</t>
  </si>
  <si>
    <t xml:space="preserve">How many orders were placed in the 'North' region?</t>
  </si>
  <si>
    <t xml:space="preserve">How many orders were in the 'Electronics' category?</t>
  </si>
  <si>
    <t xml:space="preserve">How many orders had a Quantity of 10 or more? (Use the criteria "&gt;=10".)</t>
  </si>
  <si>
    <t xml:space="preserve">COUNTIFS  —  counting with TWO OR MORE conditions</t>
  </si>
  <si>
    <t xml:space="preserve">How many 'Online' orders were placed in the 'South' region?</t>
  </si>
  <si>
    <t xml:space="preserve">How many 'Clothing' orders were sold In-Store?</t>
  </si>
  <si>
    <t xml:space="preserve">How many 'Sports' orders in the 'West' region had a Quantity greater than 5?</t>
  </si>
  <si>
    <t xml:space="preserve">SUM  —  totalling a column</t>
  </si>
  <si>
    <t xml:space="preserve">What is the total Quantity of items sold across all orders?</t>
  </si>
  <si>
    <t xml:space="preserve">What is the total Revenue generated across all orders?</t>
  </si>
  <si>
    <t xml:space="preserve">SUMIF  —  totalling with ONE condition</t>
  </si>
  <si>
    <t xml:space="preserve">What is the total Revenue from the 'Online' channel?</t>
  </si>
  <si>
    <t xml:space="preserve">What is the total Revenue from the 'Home' category?</t>
  </si>
  <si>
    <t xml:space="preserve">SUMIFS  —  totalling with TWO OR MORE conditions</t>
  </si>
  <si>
    <t xml:space="preserve">What is the total Revenue from 'Electronics' sold 'Online'?</t>
  </si>
  <si>
    <t xml:space="preserve">What is the total Revenue from the 'East' region in the 'In-Store' channel?</t>
  </si>
  <si>
    <t xml:space="preserve">What is the total Quantity of 'Toys' sold by the salesperson 'Chen'?</t>
  </si>
  <si>
    <t xml:space="preserve">AVERAGE  —  the mean of a column</t>
  </si>
  <si>
    <t xml:space="preserve">What is the average Unit Price across all orders?</t>
  </si>
  <si>
    <t xml:space="preserve">What is the average Revenue per order?</t>
  </si>
  <si>
    <t xml:space="preserve">AVERAGEIF  —  the mean with ONE condition</t>
  </si>
  <si>
    <t xml:space="preserve">What is the average Revenue of 'Online' orders?</t>
  </si>
  <si>
    <t xml:space="preserve">What is the average Unit Price in the 'Electronics' category?</t>
  </si>
  <si>
    <t xml:space="preserve">AVERAGEIFS  —  the mean with TWO OR MORE conditions</t>
  </si>
  <si>
    <t xml:space="preserve">What is the average Revenue for 'Clothing' orders sold 'Online'?</t>
  </si>
  <si>
    <t xml:space="preserve">What is the average Quantity for 'Sports' orders in the 'North' region?</t>
  </si>
  <si>
    <t xml:space="preserve">STANDARD DEVIATION  —  spread of the data</t>
  </si>
  <si>
    <t xml:space="preserve">What is the standard deviation of Unit Price across all orders? (Treat the data as the whole population — use STDEV.P.)</t>
  </si>
  <si>
    <t xml:space="preserve">What is the sample standard deviation of Revenue? (Use STDEV.S.)</t>
  </si>
  <si>
    <t xml:space="preserve">Which has more variability relative to its mean — Quantity or Unit Price? (Compare each standard deviation ÷ its average; the higher ratio is more variable.)</t>
  </si>
  <si>
    <t xml:space="preserve">PIVOT TABLES &amp; DASHBOARD  —  bring it together</t>
  </si>
  <si>
    <t xml:space="preserve">Insert a PivotTable from the Data sheet. Put Category in Rows and Sum of Revenue in Values. Which category earns the most revenue?</t>
  </si>
  <si>
    <t xml:space="preserve">Change the pivot to show Region in Rows and Channel in Columns, with Sum of Revenue as values. Which Region/Channel combination is strongest?</t>
  </si>
  <si>
    <t xml:space="preserve">Add a second value to the pivot: Count of Order ID alongside Sum of Revenue, by Salesperson. Who has the highest revenue per order (Revenue ÷ count)?</t>
  </si>
  <si>
    <t xml:space="preserve">Build a simple dashboard: a column chart of Revenue by Month and a bar chart of Revenue by Category, then add a Slicer for Region. Describe what happens to both charts when you click 'North'.</t>
  </si>
  <si>
    <t xml:space="preserve">Verify two ways: use a COUNTIFS formula to count 'Online' 'Electronics' orders, then confirm the same number appears in a PivotTable. Do they match?</t>
  </si>
  <si>
    <t xml:space="preserve">Answer Key — formulas recalculate live from the Data sheet</t>
  </si>
  <si>
    <t xml:space="preserve">#</t>
  </si>
  <si>
    <t xml:space="preserve">Formula (paste into any blank cell)</t>
  </si>
  <si>
    <t xml:space="preserve">Function</t>
  </si>
  <si>
    <t xml:space="preserve">Result</t>
  </si>
  <si>
    <t xml:space="preserve">'=COUNT(Data!$A$2:$A$181)</t>
  </si>
  <si>
    <t xml:space="preserve">COUNT</t>
  </si>
  <si>
    <t xml:space="preserve">'=COUNT(Data!$I$2:$I$181)</t>
  </si>
  <si>
    <t xml:space="preserve">'=COUNTIF(Data!$C$2:$C$181,"North")</t>
  </si>
  <si>
    <t xml:space="preserve">COUNTIF</t>
  </si>
  <si>
    <t xml:space="preserve">'=COUNTIF(Data!$E$2:$E$181,"Electronics")</t>
  </si>
  <si>
    <t xml:space="preserve">'=COUNTIF(Data!$H$2:$H$181,"&gt;=10")</t>
  </si>
  <si>
    <t xml:space="preserve">'=COUNTIFS(Data!$D$2:$D$181,"Online",Data!$C$2:$C$181,"South")</t>
  </si>
  <si>
    <t xml:space="preserve">COUNTIFS</t>
  </si>
  <si>
    <t xml:space="preserve">'=COUNTIFS(Data!$E$2:$E$181,"Clothing",Data!$D$2:$D$181,"In-Store")</t>
  </si>
  <si>
    <t xml:space="preserve">'=COUNTIFS(Data!$E$2:$E$181,"Sports",Data!$C$2:$C$181,"West",Data!$H$2:$H$181,"&gt;5")</t>
  </si>
  <si>
    <t xml:space="preserve">'=SUM(Data!$H$2:$H$181)</t>
  </si>
  <si>
    <t xml:space="preserve">SUM</t>
  </si>
  <si>
    <t xml:space="preserve">'=SUM(Data!$J$2:$J$181)</t>
  </si>
  <si>
    <t xml:space="preserve">'=SUMIF(Data!$D$2:$D$181,"Online",Data!$J$2:$J$181)</t>
  </si>
  <si>
    <t xml:space="preserve">SUMIF</t>
  </si>
  <si>
    <t xml:space="preserve">'=SUMIF(Data!$E$2:$E$181,"Home",Data!$J$2:$J$181)</t>
  </si>
  <si>
    <t xml:space="preserve">'=SUMIFS(Data!$J$2:$J$181,Data!$E$2:$E$181,"Electronics",Data!$D$2:$D$181,"Online")</t>
  </si>
  <si>
    <t xml:space="preserve">SUMIFS</t>
  </si>
  <si>
    <t xml:space="preserve">'=SUMIFS(Data!$J$2:$J$181,Data!$C$2:$C$181,"East",Data!$D$2:$D$181,"In-Store")</t>
  </si>
  <si>
    <t xml:space="preserve">'=SUMIFS(Data!$H$2:$H$181,Data!$E$2:$E$181,"Toys",Data!$G$2:$G$181,"Chen")</t>
  </si>
  <si>
    <t xml:space="preserve">'=AVERAGE(Data!$I$2:$I$181)</t>
  </si>
  <si>
    <t xml:space="preserve">AVERAGE</t>
  </si>
  <si>
    <t xml:space="preserve">'=AVERAGE(Data!$J$2:$J$181)</t>
  </si>
  <si>
    <t xml:space="preserve">'=AVERAGEIF(Data!$D$2:$D$181,"Online",Data!$J$2:$J$181)</t>
  </si>
  <si>
    <t xml:space="preserve">AVERAGEIF</t>
  </si>
  <si>
    <t xml:space="preserve">'=AVERAGEIF(Data!$E$2:$E$181,"Electronics",Data!$I$2:$I$181)</t>
  </si>
  <si>
    <t xml:space="preserve">'=AVERAGEIFS(Data!$J$2:$J$181,Data!$E$2:$E$181,"Clothing",Data!$D$2:$D$181,"Online")</t>
  </si>
  <si>
    <t xml:space="preserve">AVERAGEIFS</t>
  </si>
  <si>
    <t xml:space="preserve">'=AVERAGEIFS(Data!$H$2:$H$181,Data!$E$2:$E$181,"Sports",Data!$C$2:$C$181,"North")</t>
  </si>
  <si>
    <t xml:space="preserve">'=STDEV.P(Data!$I$2:$I$181)</t>
  </si>
  <si>
    <t xml:space="preserve">STDEV.P</t>
  </si>
  <si>
    <t xml:space="preserve">'=STDEV.S(Data!$J$2:$J$181)</t>
  </si>
  <si>
    <t xml:space="preserve">STDEV.S</t>
  </si>
  <si>
    <t xml:space="preserve">'=STDEV.P(Data!$H$2:$H$181)/AVERAGE(Data!$H$2:$H$181)</t>
  </si>
  <si>
    <t xml:space="preserve">STDEV/AVG</t>
  </si>
  <si>
    <t xml:space="preserve">(For Q24, also compute Unit Price ratio below and compare — the larger ratio = more variable.)</t>
  </si>
  <si>
    <t xml:space="preserve">Q25–29 — Pivot table &amp; dashboard tasks (guidance, not single values)</t>
  </si>
  <si>
    <t xml:space="preserve">Q25  Insert &gt; PivotTable. Category → Rows, Revenue → Values (Sum). The category with the tallest total is the answer; it will recalc from the data.</t>
  </si>
  <si>
    <t xml:space="preserve">Q26  Region → Rows, Channel → Columns, Revenue → Values. Read the largest cell in the grid for the strongest Region×Channel combo.</t>
  </si>
  <si>
    <t xml:space="preserve">Q27  Salesperson → Rows; add Revenue (Sum) AND Order ID (Count) to Values. Add a calculated measure or a side column = Revenue/Count for revenue per order.</t>
  </si>
  <si>
    <t xml:space="preserve">Q28  Two charts (Revenue by Month, Revenue by Category) + Insert &gt; Slicer &gt; Region. Clicking 'North' filters BOTH charts to North only — they shrink/refilter together.</t>
  </si>
  <si>
    <t xml:space="preserve">Q29  COUNTIFS result (Q13 logic with count) must equal the pivot's Count for Online+Electronics. If they differ, a filter or range is wrong.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</si>
</sst>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1001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4</v>
      </c>
      <c r="I2" s="4" t="n">
        <v>169.6</v>
      </c>
      <c r="J2" s="4" t="n">
        <f aca="false">H2*I2</f>
        <v>678.4</v>
      </c>
    </row>
    <row r="3" customFormat="false" ht="15" hidden="false" customHeight="false" outlineLevel="0" collapsed="false">
      <c r="A3" s="2" t="n">
        <v>1002</v>
      </c>
      <c r="B3" s="3" t="s">
        <v>10</v>
      </c>
      <c r="C3" s="3" t="s">
        <v>11</v>
      </c>
      <c r="D3" s="3" t="s">
        <v>12</v>
      </c>
      <c r="E3" s="3" t="s">
        <v>16</v>
      </c>
      <c r="F3" s="3" t="s">
        <v>17</v>
      </c>
      <c r="G3" s="3" t="s">
        <v>18</v>
      </c>
      <c r="H3" s="3" t="n">
        <v>2</v>
      </c>
      <c r="I3" s="4" t="n">
        <v>13.81</v>
      </c>
      <c r="J3" s="4" t="n">
        <f aca="false">H3*I3</f>
        <v>27.62</v>
      </c>
    </row>
    <row r="4" customFormat="false" ht="15" hidden="false" customHeight="false" outlineLevel="0" collapsed="false">
      <c r="A4" s="2" t="n">
        <v>1003</v>
      </c>
      <c r="B4" s="3" t="s">
        <v>19</v>
      </c>
      <c r="C4" s="3" t="s">
        <v>20</v>
      </c>
      <c r="D4" s="3" t="s">
        <v>12</v>
      </c>
      <c r="E4" s="3" t="s">
        <v>16</v>
      </c>
      <c r="F4" s="3" t="s">
        <v>17</v>
      </c>
      <c r="G4" s="3" t="s">
        <v>21</v>
      </c>
      <c r="H4" s="3" t="n">
        <v>10</v>
      </c>
      <c r="I4" s="4" t="n">
        <v>36.45</v>
      </c>
      <c r="J4" s="4" t="n">
        <f aca="false">H4*I4</f>
        <v>364.5</v>
      </c>
    </row>
    <row r="5" customFormat="false" ht="15" hidden="false" customHeight="false" outlineLevel="0" collapsed="false">
      <c r="A5" s="2" t="n">
        <v>1004</v>
      </c>
      <c r="B5" s="3" t="s">
        <v>22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15</v>
      </c>
      <c r="H5" s="3" t="n">
        <v>6</v>
      </c>
      <c r="I5" s="4" t="n">
        <v>17.64</v>
      </c>
      <c r="J5" s="4" t="n">
        <f aca="false">H5*I5</f>
        <v>105.84</v>
      </c>
    </row>
    <row r="6" customFormat="false" ht="15" hidden="false" customHeight="false" outlineLevel="0" collapsed="false">
      <c r="A6" s="2" t="n">
        <v>1005</v>
      </c>
      <c r="B6" s="3" t="s">
        <v>26</v>
      </c>
      <c r="C6" s="3" t="s">
        <v>27</v>
      </c>
      <c r="D6" s="3" t="s">
        <v>12</v>
      </c>
      <c r="E6" s="3" t="s">
        <v>24</v>
      </c>
      <c r="F6" s="3" t="s">
        <v>25</v>
      </c>
      <c r="G6" s="3" t="s">
        <v>21</v>
      </c>
      <c r="H6" s="3" t="n">
        <v>1</v>
      </c>
      <c r="I6" s="4" t="n">
        <v>45.43</v>
      </c>
      <c r="J6" s="4" t="n">
        <f aca="false">H6*I6</f>
        <v>45.43</v>
      </c>
    </row>
    <row r="7" customFormat="false" ht="15" hidden="false" customHeight="false" outlineLevel="0" collapsed="false">
      <c r="A7" s="2" t="n">
        <v>1006</v>
      </c>
      <c r="B7" s="3" t="s">
        <v>19</v>
      </c>
      <c r="C7" s="3" t="s">
        <v>11</v>
      </c>
      <c r="D7" s="3" t="s">
        <v>12</v>
      </c>
      <c r="E7" s="3" t="s">
        <v>13</v>
      </c>
      <c r="F7" s="3" t="s">
        <v>28</v>
      </c>
      <c r="G7" s="3" t="s">
        <v>29</v>
      </c>
      <c r="H7" s="3" t="n">
        <v>10</v>
      </c>
      <c r="I7" s="4" t="n">
        <v>186.73</v>
      </c>
      <c r="J7" s="4" t="n">
        <f aca="false">H7*I7</f>
        <v>1867.3</v>
      </c>
    </row>
    <row r="8" customFormat="false" ht="15" hidden="false" customHeight="false" outlineLevel="0" collapsed="false">
      <c r="A8" s="2" t="n">
        <v>1007</v>
      </c>
      <c r="B8" s="3" t="s">
        <v>22</v>
      </c>
      <c r="C8" s="3" t="s">
        <v>27</v>
      </c>
      <c r="D8" s="3" t="s">
        <v>23</v>
      </c>
      <c r="E8" s="3" t="s">
        <v>30</v>
      </c>
      <c r="F8" s="3" t="s">
        <v>31</v>
      </c>
      <c r="G8" s="3" t="s">
        <v>32</v>
      </c>
      <c r="H8" s="3" t="n">
        <v>4</v>
      </c>
      <c r="I8" s="4" t="n">
        <v>93.77</v>
      </c>
      <c r="J8" s="4" t="n">
        <f aca="false">H8*I8</f>
        <v>375.08</v>
      </c>
    </row>
    <row r="9" customFormat="false" ht="15" hidden="false" customHeight="false" outlineLevel="0" collapsed="false">
      <c r="A9" s="2" t="n">
        <v>1008</v>
      </c>
      <c r="B9" s="3" t="s">
        <v>26</v>
      </c>
      <c r="C9" s="3" t="s">
        <v>33</v>
      </c>
      <c r="D9" s="3" t="s">
        <v>12</v>
      </c>
      <c r="E9" s="3" t="s">
        <v>24</v>
      </c>
      <c r="F9" s="3" t="s">
        <v>34</v>
      </c>
      <c r="G9" s="3" t="s">
        <v>35</v>
      </c>
      <c r="H9" s="3" t="n">
        <v>4</v>
      </c>
      <c r="I9" s="4" t="n">
        <v>30.95</v>
      </c>
      <c r="J9" s="4" t="n">
        <f aca="false">H9*I9</f>
        <v>123.8</v>
      </c>
    </row>
    <row r="10" customFormat="false" ht="15" hidden="false" customHeight="false" outlineLevel="0" collapsed="false">
      <c r="A10" s="2" t="n">
        <v>1009</v>
      </c>
      <c r="B10" s="3" t="s">
        <v>19</v>
      </c>
      <c r="C10" s="3" t="s">
        <v>11</v>
      </c>
      <c r="D10" s="3" t="s">
        <v>23</v>
      </c>
      <c r="E10" s="3" t="s">
        <v>16</v>
      </c>
      <c r="F10" s="3" t="s">
        <v>36</v>
      </c>
      <c r="G10" s="3" t="s">
        <v>29</v>
      </c>
      <c r="H10" s="3" t="n">
        <v>7</v>
      </c>
      <c r="I10" s="4" t="n">
        <v>29.61</v>
      </c>
      <c r="J10" s="4" t="n">
        <f aca="false">H10*I10</f>
        <v>207.27</v>
      </c>
    </row>
    <row r="11" customFormat="false" ht="15" hidden="false" customHeight="false" outlineLevel="0" collapsed="false">
      <c r="A11" s="2" t="n">
        <v>1010</v>
      </c>
      <c r="B11" s="3" t="s">
        <v>19</v>
      </c>
      <c r="C11" s="3" t="s">
        <v>20</v>
      </c>
      <c r="D11" s="3" t="s">
        <v>12</v>
      </c>
      <c r="E11" s="3" t="s">
        <v>30</v>
      </c>
      <c r="F11" s="3" t="s">
        <v>37</v>
      </c>
      <c r="G11" s="3" t="s">
        <v>38</v>
      </c>
      <c r="H11" s="3" t="n">
        <v>7</v>
      </c>
      <c r="I11" s="4" t="n">
        <v>78.82</v>
      </c>
      <c r="J11" s="4" t="n">
        <f aca="false">H11*I11</f>
        <v>551.74</v>
      </c>
    </row>
    <row r="12" customFormat="false" ht="15" hidden="false" customHeight="false" outlineLevel="0" collapsed="false">
      <c r="A12" s="2" t="n">
        <v>1011</v>
      </c>
      <c r="B12" s="3" t="s">
        <v>39</v>
      </c>
      <c r="C12" s="3" t="s">
        <v>11</v>
      </c>
      <c r="D12" s="3" t="s">
        <v>23</v>
      </c>
      <c r="E12" s="3" t="s">
        <v>30</v>
      </c>
      <c r="F12" s="3" t="s">
        <v>40</v>
      </c>
      <c r="G12" s="3" t="s">
        <v>35</v>
      </c>
      <c r="H12" s="3" t="n">
        <v>11</v>
      </c>
      <c r="I12" s="4" t="n">
        <v>44.84</v>
      </c>
      <c r="J12" s="4" t="n">
        <f aca="false">H12*I12</f>
        <v>493.24</v>
      </c>
    </row>
    <row r="13" customFormat="false" ht="15" hidden="false" customHeight="false" outlineLevel="0" collapsed="false">
      <c r="A13" s="2" t="n">
        <v>1012</v>
      </c>
      <c r="B13" s="3" t="s">
        <v>41</v>
      </c>
      <c r="C13" s="3" t="s">
        <v>27</v>
      </c>
      <c r="D13" s="3" t="s">
        <v>23</v>
      </c>
      <c r="E13" s="3" t="s">
        <v>30</v>
      </c>
      <c r="F13" s="3" t="s">
        <v>31</v>
      </c>
      <c r="G13" s="3" t="s">
        <v>18</v>
      </c>
      <c r="H13" s="3" t="n">
        <v>7</v>
      </c>
      <c r="I13" s="4" t="n">
        <v>74</v>
      </c>
      <c r="J13" s="4" t="n">
        <f aca="false">H13*I13</f>
        <v>518</v>
      </c>
    </row>
    <row r="14" customFormat="false" ht="15" hidden="false" customHeight="false" outlineLevel="0" collapsed="false">
      <c r="A14" s="2" t="n">
        <v>1013</v>
      </c>
      <c r="B14" s="3" t="s">
        <v>22</v>
      </c>
      <c r="C14" s="3" t="s">
        <v>11</v>
      </c>
      <c r="D14" s="3" t="s">
        <v>12</v>
      </c>
      <c r="E14" s="3" t="s">
        <v>30</v>
      </c>
      <c r="F14" s="3" t="s">
        <v>40</v>
      </c>
      <c r="G14" s="3" t="s">
        <v>21</v>
      </c>
      <c r="H14" s="3" t="n">
        <v>1</v>
      </c>
      <c r="I14" s="4" t="n">
        <v>19.55</v>
      </c>
      <c r="J14" s="4" t="n">
        <f aca="false">H14*I14</f>
        <v>19.55</v>
      </c>
    </row>
    <row r="15" customFormat="false" ht="15" hidden="false" customHeight="false" outlineLevel="0" collapsed="false">
      <c r="A15" s="2" t="n">
        <v>1014</v>
      </c>
      <c r="B15" s="3" t="s">
        <v>39</v>
      </c>
      <c r="C15" s="3" t="s">
        <v>33</v>
      </c>
      <c r="D15" s="3" t="s">
        <v>12</v>
      </c>
      <c r="E15" s="3" t="s">
        <v>16</v>
      </c>
      <c r="F15" s="3" t="s">
        <v>42</v>
      </c>
      <c r="G15" s="3" t="s">
        <v>15</v>
      </c>
      <c r="H15" s="3" t="n">
        <v>10</v>
      </c>
      <c r="I15" s="4" t="n">
        <v>56.17</v>
      </c>
      <c r="J15" s="4" t="n">
        <f aca="false">H15*I15</f>
        <v>561.7</v>
      </c>
    </row>
    <row r="16" customFormat="false" ht="15" hidden="false" customHeight="false" outlineLevel="0" collapsed="false">
      <c r="A16" s="2" t="n">
        <v>1015</v>
      </c>
      <c r="B16" s="3" t="s">
        <v>22</v>
      </c>
      <c r="C16" s="3" t="s">
        <v>33</v>
      </c>
      <c r="D16" s="3" t="s">
        <v>23</v>
      </c>
      <c r="E16" s="3" t="s">
        <v>16</v>
      </c>
      <c r="F16" s="3" t="s">
        <v>43</v>
      </c>
      <c r="G16" s="3" t="s">
        <v>35</v>
      </c>
      <c r="H16" s="3" t="n">
        <v>6</v>
      </c>
      <c r="I16" s="4" t="n">
        <v>102.23</v>
      </c>
      <c r="J16" s="4" t="n">
        <f aca="false">H16*I16</f>
        <v>613.38</v>
      </c>
    </row>
    <row r="17" customFormat="false" ht="15" hidden="false" customHeight="false" outlineLevel="0" collapsed="false">
      <c r="A17" s="2" t="n">
        <v>1016</v>
      </c>
      <c r="B17" s="3" t="s">
        <v>19</v>
      </c>
      <c r="C17" s="3" t="s">
        <v>11</v>
      </c>
      <c r="D17" s="3" t="s">
        <v>12</v>
      </c>
      <c r="E17" s="3" t="s">
        <v>44</v>
      </c>
      <c r="F17" s="3" t="s">
        <v>45</v>
      </c>
      <c r="G17" s="3" t="s">
        <v>46</v>
      </c>
      <c r="H17" s="3" t="n">
        <v>12</v>
      </c>
      <c r="I17" s="4" t="n">
        <v>43.2</v>
      </c>
      <c r="J17" s="4" t="n">
        <f aca="false">H17*I17</f>
        <v>518.4</v>
      </c>
    </row>
    <row r="18" customFormat="false" ht="15" hidden="false" customHeight="false" outlineLevel="0" collapsed="false">
      <c r="A18" s="2" t="n">
        <v>1017</v>
      </c>
      <c r="B18" s="3" t="s">
        <v>41</v>
      </c>
      <c r="C18" s="3" t="s">
        <v>20</v>
      </c>
      <c r="D18" s="3" t="s">
        <v>23</v>
      </c>
      <c r="E18" s="3" t="s">
        <v>16</v>
      </c>
      <c r="F18" s="3" t="s">
        <v>36</v>
      </c>
      <c r="G18" s="3" t="s">
        <v>32</v>
      </c>
      <c r="H18" s="3" t="n">
        <v>3</v>
      </c>
      <c r="I18" s="4" t="n">
        <v>28.34</v>
      </c>
      <c r="J18" s="4" t="n">
        <f aca="false">H18*I18</f>
        <v>85.02</v>
      </c>
    </row>
    <row r="19" customFormat="false" ht="15" hidden="false" customHeight="false" outlineLevel="0" collapsed="false">
      <c r="A19" s="2" t="n">
        <v>1018</v>
      </c>
      <c r="B19" s="3" t="s">
        <v>10</v>
      </c>
      <c r="C19" s="3" t="s">
        <v>20</v>
      </c>
      <c r="D19" s="3" t="s">
        <v>12</v>
      </c>
      <c r="E19" s="3" t="s">
        <v>13</v>
      </c>
      <c r="F19" s="3" t="s">
        <v>14</v>
      </c>
      <c r="G19" s="3" t="s">
        <v>15</v>
      </c>
      <c r="H19" s="3" t="n">
        <v>5</v>
      </c>
      <c r="I19" s="4" t="n">
        <v>206.17</v>
      </c>
      <c r="J19" s="4" t="n">
        <f aca="false">H19*I19</f>
        <v>1030.85</v>
      </c>
    </row>
    <row r="20" customFormat="false" ht="15" hidden="false" customHeight="false" outlineLevel="0" collapsed="false">
      <c r="A20" s="2" t="n">
        <v>1019</v>
      </c>
      <c r="B20" s="3" t="s">
        <v>10</v>
      </c>
      <c r="C20" s="3" t="s">
        <v>11</v>
      </c>
      <c r="D20" s="3" t="s">
        <v>23</v>
      </c>
      <c r="E20" s="3" t="s">
        <v>13</v>
      </c>
      <c r="F20" s="3" t="s">
        <v>47</v>
      </c>
      <c r="G20" s="3" t="s">
        <v>35</v>
      </c>
      <c r="H20" s="3" t="n">
        <v>9</v>
      </c>
      <c r="I20" s="4" t="n">
        <v>184.12</v>
      </c>
      <c r="J20" s="4" t="n">
        <f aca="false">H20*I20</f>
        <v>1657.08</v>
      </c>
    </row>
    <row r="21" customFormat="false" ht="15" hidden="false" customHeight="false" outlineLevel="0" collapsed="false">
      <c r="A21" s="2" t="n">
        <v>1020</v>
      </c>
      <c r="B21" s="3" t="s">
        <v>26</v>
      </c>
      <c r="C21" s="3" t="s">
        <v>11</v>
      </c>
      <c r="D21" s="3" t="s">
        <v>23</v>
      </c>
      <c r="E21" s="3" t="s">
        <v>24</v>
      </c>
      <c r="F21" s="3" t="s">
        <v>48</v>
      </c>
      <c r="G21" s="3" t="s">
        <v>21</v>
      </c>
      <c r="H21" s="3" t="n">
        <v>9</v>
      </c>
      <c r="I21" s="4" t="n">
        <v>67.79</v>
      </c>
      <c r="J21" s="4" t="n">
        <f aca="false">H21*I21</f>
        <v>610.11</v>
      </c>
    </row>
    <row r="22" customFormat="false" ht="15" hidden="false" customHeight="false" outlineLevel="0" collapsed="false">
      <c r="A22" s="2" t="n">
        <v>1021</v>
      </c>
      <c r="B22" s="3" t="s">
        <v>22</v>
      </c>
      <c r="C22" s="3" t="s">
        <v>11</v>
      </c>
      <c r="D22" s="3" t="s">
        <v>12</v>
      </c>
      <c r="E22" s="3" t="s">
        <v>24</v>
      </c>
      <c r="F22" s="3" t="s">
        <v>48</v>
      </c>
      <c r="G22" s="3" t="s">
        <v>15</v>
      </c>
      <c r="H22" s="3" t="n">
        <v>8</v>
      </c>
      <c r="I22" s="4" t="n">
        <v>63.78</v>
      </c>
      <c r="J22" s="4" t="n">
        <f aca="false">H22*I22</f>
        <v>510.24</v>
      </c>
    </row>
    <row r="23" customFormat="false" ht="15" hidden="false" customHeight="false" outlineLevel="0" collapsed="false">
      <c r="A23" s="2" t="n">
        <v>1022</v>
      </c>
      <c r="B23" s="3" t="s">
        <v>41</v>
      </c>
      <c r="C23" s="3" t="s">
        <v>11</v>
      </c>
      <c r="D23" s="3" t="s">
        <v>12</v>
      </c>
      <c r="E23" s="3" t="s">
        <v>24</v>
      </c>
      <c r="F23" s="3" t="s">
        <v>49</v>
      </c>
      <c r="G23" s="3" t="s">
        <v>15</v>
      </c>
      <c r="H23" s="3" t="n">
        <v>4</v>
      </c>
      <c r="I23" s="4" t="n">
        <v>44.48</v>
      </c>
      <c r="J23" s="4" t="n">
        <f aca="false">H23*I23</f>
        <v>177.92</v>
      </c>
    </row>
    <row r="24" customFormat="false" ht="15" hidden="false" customHeight="false" outlineLevel="0" collapsed="false">
      <c r="A24" s="2" t="n">
        <v>1023</v>
      </c>
      <c r="B24" s="3" t="s">
        <v>19</v>
      </c>
      <c r="C24" s="3" t="s">
        <v>20</v>
      </c>
      <c r="D24" s="3" t="s">
        <v>12</v>
      </c>
      <c r="E24" s="3" t="s">
        <v>13</v>
      </c>
      <c r="F24" s="3" t="s">
        <v>50</v>
      </c>
      <c r="G24" s="3" t="s">
        <v>46</v>
      </c>
      <c r="H24" s="3" t="n">
        <v>1</v>
      </c>
      <c r="I24" s="4" t="n">
        <v>38.14</v>
      </c>
      <c r="J24" s="4" t="n">
        <f aca="false">H24*I24</f>
        <v>38.14</v>
      </c>
    </row>
    <row r="25" customFormat="false" ht="15" hidden="false" customHeight="false" outlineLevel="0" collapsed="false">
      <c r="A25" s="2" t="n">
        <v>1024</v>
      </c>
      <c r="B25" s="3" t="s">
        <v>41</v>
      </c>
      <c r="C25" s="3" t="s">
        <v>27</v>
      </c>
      <c r="D25" s="3" t="s">
        <v>12</v>
      </c>
      <c r="E25" s="3" t="s">
        <v>44</v>
      </c>
      <c r="F25" s="3" t="s">
        <v>51</v>
      </c>
      <c r="G25" s="3" t="s">
        <v>32</v>
      </c>
      <c r="H25" s="3" t="n">
        <v>12</v>
      </c>
      <c r="I25" s="4" t="n">
        <v>27.03</v>
      </c>
      <c r="J25" s="4" t="n">
        <f aca="false">H25*I25</f>
        <v>324.36</v>
      </c>
    </row>
    <row r="26" customFormat="false" ht="15" hidden="false" customHeight="false" outlineLevel="0" collapsed="false">
      <c r="A26" s="2" t="n">
        <v>1025</v>
      </c>
      <c r="B26" s="3" t="s">
        <v>39</v>
      </c>
      <c r="C26" s="3" t="s">
        <v>33</v>
      </c>
      <c r="D26" s="3" t="s">
        <v>23</v>
      </c>
      <c r="E26" s="3" t="s">
        <v>44</v>
      </c>
      <c r="F26" s="3" t="s">
        <v>51</v>
      </c>
      <c r="G26" s="3" t="s">
        <v>21</v>
      </c>
      <c r="H26" s="3" t="n">
        <v>11</v>
      </c>
      <c r="I26" s="4" t="n">
        <v>9.68</v>
      </c>
      <c r="J26" s="4" t="n">
        <f aca="false">H26*I26</f>
        <v>106.48</v>
      </c>
    </row>
    <row r="27" customFormat="false" ht="15" hidden="false" customHeight="false" outlineLevel="0" collapsed="false">
      <c r="A27" s="2" t="n">
        <v>1026</v>
      </c>
      <c r="B27" s="3" t="s">
        <v>22</v>
      </c>
      <c r="C27" s="3" t="s">
        <v>20</v>
      </c>
      <c r="D27" s="3" t="s">
        <v>23</v>
      </c>
      <c r="E27" s="3" t="s">
        <v>44</v>
      </c>
      <c r="F27" s="3" t="s">
        <v>45</v>
      </c>
      <c r="G27" s="3" t="s">
        <v>38</v>
      </c>
      <c r="H27" s="3" t="n">
        <v>11</v>
      </c>
      <c r="I27" s="4" t="n">
        <v>32.26</v>
      </c>
      <c r="J27" s="4" t="n">
        <f aca="false">H27*I27</f>
        <v>354.86</v>
      </c>
    </row>
    <row r="28" customFormat="false" ht="15" hidden="false" customHeight="false" outlineLevel="0" collapsed="false">
      <c r="A28" s="2" t="n">
        <v>1027</v>
      </c>
      <c r="B28" s="3" t="s">
        <v>39</v>
      </c>
      <c r="C28" s="3" t="s">
        <v>11</v>
      </c>
      <c r="D28" s="3" t="s">
        <v>23</v>
      </c>
      <c r="E28" s="3" t="s">
        <v>13</v>
      </c>
      <c r="F28" s="3" t="s">
        <v>50</v>
      </c>
      <c r="G28" s="3" t="s">
        <v>35</v>
      </c>
      <c r="H28" s="3" t="n">
        <v>9</v>
      </c>
      <c r="I28" s="4" t="n">
        <v>62.36</v>
      </c>
      <c r="J28" s="4" t="n">
        <f aca="false">H28*I28</f>
        <v>561.24</v>
      </c>
    </row>
    <row r="29" customFormat="false" ht="15" hidden="false" customHeight="false" outlineLevel="0" collapsed="false">
      <c r="A29" s="2" t="n">
        <v>1028</v>
      </c>
      <c r="B29" s="3" t="s">
        <v>39</v>
      </c>
      <c r="C29" s="3" t="s">
        <v>20</v>
      </c>
      <c r="D29" s="3" t="s">
        <v>12</v>
      </c>
      <c r="E29" s="3" t="s">
        <v>24</v>
      </c>
      <c r="F29" s="3" t="s">
        <v>48</v>
      </c>
      <c r="G29" s="3" t="s">
        <v>29</v>
      </c>
      <c r="H29" s="3" t="n">
        <v>2</v>
      </c>
      <c r="I29" s="4" t="n">
        <v>23.49</v>
      </c>
      <c r="J29" s="4" t="n">
        <f aca="false">H29*I29</f>
        <v>46.98</v>
      </c>
    </row>
    <row r="30" customFormat="false" ht="15" hidden="false" customHeight="false" outlineLevel="0" collapsed="false">
      <c r="A30" s="2" t="n">
        <v>1029</v>
      </c>
      <c r="B30" s="3" t="s">
        <v>39</v>
      </c>
      <c r="C30" s="3" t="s">
        <v>11</v>
      </c>
      <c r="D30" s="3" t="s">
        <v>23</v>
      </c>
      <c r="E30" s="3" t="s">
        <v>13</v>
      </c>
      <c r="F30" s="3" t="s">
        <v>50</v>
      </c>
      <c r="G30" s="3" t="s">
        <v>29</v>
      </c>
      <c r="H30" s="3" t="n">
        <v>8</v>
      </c>
      <c r="I30" s="4" t="n">
        <v>57.43</v>
      </c>
      <c r="J30" s="4" t="n">
        <f aca="false">H30*I30</f>
        <v>459.44</v>
      </c>
    </row>
    <row r="31" customFormat="false" ht="15" hidden="false" customHeight="false" outlineLevel="0" collapsed="false">
      <c r="A31" s="2" t="n">
        <v>1030</v>
      </c>
      <c r="B31" s="3" t="s">
        <v>19</v>
      </c>
      <c r="C31" s="3" t="s">
        <v>27</v>
      </c>
      <c r="D31" s="3" t="s">
        <v>23</v>
      </c>
      <c r="E31" s="3" t="s">
        <v>30</v>
      </c>
      <c r="F31" s="3" t="s">
        <v>40</v>
      </c>
      <c r="G31" s="3" t="s">
        <v>21</v>
      </c>
      <c r="H31" s="3" t="n">
        <v>7</v>
      </c>
      <c r="I31" s="4" t="n">
        <v>12.18</v>
      </c>
      <c r="J31" s="4" t="n">
        <f aca="false">H31*I31</f>
        <v>85.26</v>
      </c>
    </row>
    <row r="32" customFormat="false" ht="15" hidden="false" customHeight="false" outlineLevel="0" collapsed="false">
      <c r="A32" s="2" t="n">
        <v>1031</v>
      </c>
      <c r="B32" s="3" t="s">
        <v>10</v>
      </c>
      <c r="C32" s="3" t="s">
        <v>20</v>
      </c>
      <c r="D32" s="3" t="s">
        <v>12</v>
      </c>
      <c r="E32" s="3" t="s">
        <v>16</v>
      </c>
      <c r="F32" s="3" t="s">
        <v>17</v>
      </c>
      <c r="G32" s="3" t="s">
        <v>38</v>
      </c>
      <c r="H32" s="3" t="n">
        <v>5</v>
      </c>
      <c r="I32" s="4" t="n">
        <v>28.58</v>
      </c>
      <c r="J32" s="4" t="n">
        <f aca="false">H32*I32</f>
        <v>142.9</v>
      </c>
    </row>
    <row r="33" customFormat="false" ht="15" hidden="false" customHeight="false" outlineLevel="0" collapsed="false">
      <c r="A33" s="2" t="n">
        <v>1032</v>
      </c>
      <c r="B33" s="3" t="s">
        <v>41</v>
      </c>
      <c r="C33" s="3" t="s">
        <v>11</v>
      </c>
      <c r="D33" s="3" t="s">
        <v>12</v>
      </c>
      <c r="E33" s="3" t="s">
        <v>13</v>
      </c>
      <c r="F33" s="3" t="s">
        <v>14</v>
      </c>
      <c r="G33" s="3" t="s">
        <v>15</v>
      </c>
      <c r="H33" s="3" t="n">
        <v>9</v>
      </c>
      <c r="I33" s="4" t="n">
        <v>138.91</v>
      </c>
      <c r="J33" s="4" t="n">
        <f aca="false">H33*I33</f>
        <v>1250.19</v>
      </c>
    </row>
    <row r="34" customFormat="false" ht="15" hidden="false" customHeight="false" outlineLevel="0" collapsed="false">
      <c r="A34" s="2" t="n">
        <v>1033</v>
      </c>
      <c r="B34" s="3" t="s">
        <v>10</v>
      </c>
      <c r="C34" s="3" t="s">
        <v>27</v>
      </c>
      <c r="D34" s="3" t="s">
        <v>12</v>
      </c>
      <c r="E34" s="3" t="s">
        <v>30</v>
      </c>
      <c r="F34" s="3" t="s">
        <v>37</v>
      </c>
      <c r="G34" s="3" t="s">
        <v>18</v>
      </c>
      <c r="H34" s="3" t="n">
        <v>11</v>
      </c>
      <c r="I34" s="4" t="n">
        <v>61.39</v>
      </c>
      <c r="J34" s="4" t="n">
        <f aca="false">H34*I34</f>
        <v>675.29</v>
      </c>
    </row>
    <row r="35" customFormat="false" ht="15" hidden="false" customHeight="false" outlineLevel="0" collapsed="false">
      <c r="A35" s="2" t="n">
        <v>1034</v>
      </c>
      <c r="B35" s="3" t="s">
        <v>26</v>
      </c>
      <c r="C35" s="3" t="s">
        <v>33</v>
      </c>
      <c r="D35" s="3" t="s">
        <v>23</v>
      </c>
      <c r="E35" s="3" t="s">
        <v>16</v>
      </c>
      <c r="F35" s="3" t="s">
        <v>42</v>
      </c>
      <c r="G35" s="3" t="s">
        <v>18</v>
      </c>
      <c r="H35" s="3" t="n">
        <v>7</v>
      </c>
      <c r="I35" s="4" t="n">
        <v>84.33</v>
      </c>
      <c r="J35" s="4" t="n">
        <f aca="false">H35*I35</f>
        <v>590.31</v>
      </c>
    </row>
    <row r="36" customFormat="false" ht="15" hidden="false" customHeight="false" outlineLevel="0" collapsed="false">
      <c r="A36" s="2" t="n">
        <v>1035</v>
      </c>
      <c r="B36" s="3" t="s">
        <v>26</v>
      </c>
      <c r="C36" s="3" t="s">
        <v>33</v>
      </c>
      <c r="D36" s="3" t="s">
        <v>23</v>
      </c>
      <c r="E36" s="3" t="s">
        <v>24</v>
      </c>
      <c r="F36" s="3" t="s">
        <v>34</v>
      </c>
      <c r="G36" s="3" t="s">
        <v>38</v>
      </c>
      <c r="H36" s="3" t="n">
        <v>3</v>
      </c>
      <c r="I36" s="4" t="n">
        <v>24.47</v>
      </c>
      <c r="J36" s="4" t="n">
        <f aca="false">H36*I36</f>
        <v>73.41</v>
      </c>
    </row>
    <row r="37" customFormat="false" ht="15" hidden="false" customHeight="false" outlineLevel="0" collapsed="false">
      <c r="A37" s="2" t="n">
        <v>1036</v>
      </c>
      <c r="B37" s="3" t="s">
        <v>22</v>
      </c>
      <c r="C37" s="3" t="s">
        <v>20</v>
      </c>
      <c r="D37" s="3" t="s">
        <v>12</v>
      </c>
      <c r="E37" s="3" t="s">
        <v>13</v>
      </c>
      <c r="F37" s="3" t="s">
        <v>14</v>
      </c>
      <c r="G37" s="3" t="s">
        <v>46</v>
      </c>
      <c r="H37" s="3" t="n">
        <v>10</v>
      </c>
      <c r="I37" s="4" t="n">
        <v>114.37</v>
      </c>
      <c r="J37" s="4" t="n">
        <f aca="false">H37*I37</f>
        <v>1143.7</v>
      </c>
    </row>
    <row r="38" customFormat="false" ht="15" hidden="false" customHeight="false" outlineLevel="0" collapsed="false">
      <c r="A38" s="2" t="n">
        <v>1037</v>
      </c>
      <c r="B38" s="3" t="s">
        <v>19</v>
      </c>
      <c r="C38" s="3" t="s">
        <v>33</v>
      </c>
      <c r="D38" s="3" t="s">
        <v>12</v>
      </c>
      <c r="E38" s="3" t="s">
        <v>30</v>
      </c>
      <c r="F38" s="3" t="s">
        <v>31</v>
      </c>
      <c r="G38" s="3" t="s">
        <v>32</v>
      </c>
      <c r="H38" s="3" t="n">
        <v>4</v>
      </c>
      <c r="I38" s="4" t="n">
        <v>85.11</v>
      </c>
      <c r="J38" s="4" t="n">
        <f aca="false">H38*I38</f>
        <v>340.44</v>
      </c>
    </row>
    <row r="39" customFormat="false" ht="15" hidden="false" customHeight="false" outlineLevel="0" collapsed="false">
      <c r="A39" s="2" t="n">
        <v>1038</v>
      </c>
      <c r="B39" s="3" t="s">
        <v>41</v>
      </c>
      <c r="C39" s="3" t="s">
        <v>20</v>
      </c>
      <c r="D39" s="3" t="s">
        <v>23</v>
      </c>
      <c r="E39" s="3" t="s">
        <v>16</v>
      </c>
      <c r="F39" s="3" t="s">
        <v>43</v>
      </c>
      <c r="G39" s="3" t="s">
        <v>15</v>
      </c>
      <c r="H39" s="3" t="n">
        <v>11</v>
      </c>
      <c r="I39" s="4" t="n">
        <v>83.4</v>
      </c>
      <c r="J39" s="4" t="n">
        <f aca="false">H39*I39</f>
        <v>917.4</v>
      </c>
    </row>
    <row r="40" customFormat="false" ht="15" hidden="false" customHeight="false" outlineLevel="0" collapsed="false">
      <c r="A40" s="2" t="n">
        <v>1039</v>
      </c>
      <c r="B40" s="3" t="s">
        <v>26</v>
      </c>
      <c r="C40" s="3" t="s">
        <v>11</v>
      </c>
      <c r="D40" s="3" t="s">
        <v>23</v>
      </c>
      <c r="E40" s="3" t="s">
        <v>30</v>
      </c>
      <c r="F40" s="3" t="s">
        <v>31</v>
      </c>
      <c r="G40" s="3" t="s">
        <v>46</v>
      </c>
      <c r="H40" s="3" t="n">
        <v>2</v>
      </c>
      <c r="I40" s="4" t="n">
        <v>21.58</v>
      </c>
      <c r="J40" s="4" t="n">
        <f aca="false">H40*I40</f>
        <v>43.16</v>
      </c>
    </row>
    <row r="41" customFormat="false" ht="15" hidden="false" customHeight="false" outlineLevel="0" collapsed="false">
      <c r="A41" s="2" t="n">
        <v>1040</v>
      </c>
      <c r="B41" s="3" t="s">
        <v>26</v>
      </c>
      <c r="C41" s="3" t="s">
        <v>33</v>
      </c>
      <c r="D41" s="3" t="s">
        <v>23</v>
      </c>
      <c r="E41" s="3" t="s">
        <v>16</v>
      </c>
      <c r="F41" s="3" t="s">
        <v>36</v>
      </c>
      <c r="G41" s="3" t="s">
        <v>46</v>
      </c>
      <c r="H41" s="3" t="n">
        <v>4</v>
      </c>
      <c r="I41" s="4" t="n">
        <v>96.11</v>
      </c>
      <c r="J41" s="4" t="n">
        <f aca="false">H41*I41</f>
        <v>384.44</v>
      </c>
    </row>
    <row r="42" customFormat="false" ht="15" hidden="false" customHeight="false" outlineLevel="0" collapsed="false">
      <c r="A42" s="2" t="n">
        <v>1041</v>
      </c>
      <c r="B42" s="3" t="s">
        <v>22</v>
      </c>
      <c r="C42" s="3" t="s">
        <v>20</v>
      </c>
      <c r="D42" s="3" t="s">
        <v>23</v>
      </c>
      <c r="E42" s="3" t="s">
        <v>13</v>
      </c>
      <c r="F42" s="3" t="s">
        <v>14</v>
      </c>
      <c r="G42" s="3" t="s">
        <v>35</v>
      </c>
      <c r="H42" s="3" t="n">
        <v>5</v>
      </c>
      <c r="I42" s="4" t="n">
        <v>148.69</v>
      </c>
      <c r="J42" s="4" t="n">
        <f aca="false">H42*I42</f>
        <v>743.45</v>
      </c>
    </row>
    <row r="43" customFormat="false" ht="15" hidden="false" customHeight="false" outlineLevel="0" collapsed="false">
      <c r="A43" s="2" t="n">
        <v>1042</v>
      </c>
      <c r="B43" s="3" t="s">
        <v>26</v>
      </c>
      <c r="C43" s="3" t="s">
        <v>27</v>
      </c>
      <c r="D43" s="3" t="s">
        <v>12</v>
      </c>
      <c r="E43" s="3" t="s">
        <v>24</v>
      </c>
      <c r="F43" s="3" t="s">
        <v>34</v>
      </c>
      <c r="G43" s="3" t="s">
        <v>15</v>
      </c>
      <c r="H43" s="3" t="n">
        <v>9</v>
      </c>
      <c r="I43" s="4" t="n">
        <v>53.96</v>
      </c>
      <c r="J43" s="4" t="n">
        <f aca="false">H43*I43</f>
        <v>485.64</v>
      </c>
    </row>
    <row r="44" customFormat="false" ht="15" hidden="false" customHeight="false" outlineLevel="0" collapsed="false">
      <c r="A44" s="2" t="n">
        <v>1043</v>
      </c>
      <c r="B44" s="3" t="s">
        <v>41</v>
      </c>
      <c r="C44" s="3" t="s">
        <v>11</v>
      </c>
      <c r="D44" s="3" t="s">
        <v>23</v>
      </c>
      <c r="E44" s="3" t="s">
        <v>13</v>
      </c>
      <c r="F44" s="3" t="s">
        <v>50</v>
      </c>
      <c r="G44" s="3" t="s">
        <v>35</v>
      </c>
      <c r="H44" s="3" t="n">
        <v>6</v>
      </c>
      <c r="I44" s="4" t="n">
        <v>131.39</v>
      </c>
      <c r="J44" s="4" t="n">
        <f aca="false">H44*I44</f>
        <v>788.34</v>
      </c>
    </row>
    <row r="45" customFormat="false" ht="15" hidden="false" customHeight="false" outlineLevel="0" collapsed="false">
      <c r="A45" s="2" t="n">
        <v>1044</v>
      </c>
      <c r="B45" s="3" t="s">
        <v>19</v>
      </c>
      <c r="C45" s="3" t="s">
        <v>11</v>
      </c>
      <c r="D45" s="3" t="s">
        <v>12</v>
      </c>
      <c r="E45" s="3" t="s">
        <v>13</v>
      </c>
      <c r="F45" s="3" t="s">
        <v>28</v>
      </c>
      <c r="G45" s="3" t="s">
        <v>15</v>
      </c>
      <c r="H45" s="3" t="n">
        <v>1</v>
      </c>
      <c r="I45" s="4" t="n">
        <v>96.11</v>
      </c>
      <c r="J45" s="4" t="n">
        <f aca="false">H45*I45</f>
        <v>96.11</v>
      </c>
    </row>
    <row r="46" customFormat="false" ht="15" hidden="false" customHeight="false" outlineLevel="0" collapsed="false">
      <c r="A46" s="2" t="n">
        <v>1045</v>
      </c>
      <c r="B46" s="3" t="s">
        <v>10</v>
      </c>
      <c r="C46" s="3" t="s">
        <v>11</v>
      </c>
      <c r="D46" s="3" t="s">
        <v>12</v>
      </c>
      <c r="E46" s="3" t="s">
        <v>24</v>
      </c>
      <c r="F46" s="3" t="s">
        <v>48</v>
      </c>
      <c r="G46" s="3" t="s">
        <v>35</v>
      </c>
      <c r="H46" s="3" t="n">
        <v>12</v>
      </c>
      <c r="I46" s="4" t="n">
        <v>68.38</v>
      </c>
      <c r="J46" s="4" t="n">
        <f aca="false">H46*I46</f>
        <v>820.56</v>
      </c>
    </row>
    <row r="47" customFormat="false" ht="15" hidden="false" customHeight="false" outlineLevel="0" collapsed="false">
      <c r="A47" s="2" t="n">
        <v>1046</v>
      </c>
      <c r="B47" s="3" t="s">
        <v>39</v>
      </c>
      <c r="C47" s="3" t="s">
        <v>11</v>
      </c>
      <c r="D47" s="3" t="s">
        <v>23</v>
      </c>
      <c r="E47" s="3" t="s">
        <v>44</v>
      </c>
      <c r="F47" s="3" t="s">
        <v>45</v>
      </c>
      <c r="G47" s="3" t="s">
        <v>35</v>
      </c>
      <c r="H47" s="3" t="n">
        <v>6</v>
      </c>
      <c r="I47" s="4" t="n">
        <v>13</v>
      </c>
      <c r="J47" s="4" t="n">
        <f aca="false">H47*I47</f>
        <v>78</v>
      </c>
    </row>
    <row r="48" customFormat="false" ht="15" hidden="false" customHeight="false" outlineLevel="0" collapsed="false">
      <c r="A48" s="2" t="n">
        <v>1047</v>
      </c>
      <c r="B48" s="3" t="s">
        <v>10</v>
      </c>
      <c r="C48" s="3" t="s">
        <v>11</v>
      </c>
      <c r="D48" s="3" t="s">
        <v>23</v>
      </c>
      <c r="E48" s="3" t="s">
        <v>13</v>
      </c>
      <c r="F48" s="3" t="s">
        <v>47</v>
      </c>
      <c r="G48" s="3" t="s">
        <v>38</v>
      </c>
      <c r="H48" s="3" t="n">
        <v>8</v>
      </c>
      <c r="I48" s="4" t="n">
        <v>195.07</v>
      </c>
      <c r="J48" s="4" t="n">
        <f aca="false">H48*I48</f>
        <v>1560.56</v>
      </c>
    </row>
    <row r="49" customFormat="false" ht="15" hidden="false" customHeight="false" outlineLevel="0" collapsed="false">
      <c r="A49" s="2" t="n">
        <v>1048</v>
      </c>
      <c r="B49" s="3" t="s">
        <v>10</v>
      </c>
      <c r="C49" s="3" t="s">
        <v>27</v>
      </c>
      <c r="D49" s="3" t="s">
        <v>23</v>
      </c>
      <c r="E49" s="3" t="s">
        <v>24</v>
      </c>
      <c r="F49" s="3" t="s">
        <v>34</v>
      </c>
      <c r="G49" s="3" t="s">
        <v>46</v>
      </c>
      <c r="H49" s="3" t="n">
        <v>11</v>
      </c>
      <c r="I49" s="4" t="n">
        <v>21.82</v>
      </c>
      <c r="J49" s="4" t="n">
        <f aca="false">H49*I49</f>
        <v>240.02</v>
      </c>
    </row>
    <row r="50" customFormat="false" ht="15" hidden="false" customHeight="false" outlineLevel="0" collapsed="false">
      <c r="A50" s="2" t="n">
        <v>1049</v>
      </c>
      <c r="B50" s="3" t="s">
        <v>39</v>
      </c>
      <c r="C50" s="3" t="s">
        <v>33</v>
      </c>
      <c r="D50" s="3" t="s">
        <v>12</v>
      </c>
      <c r="E50" s="3" t="s">
        <v>13</v>
      </c>
      <c r="F50" s="3" t="s">
        <v>28</v>
      </c>
      <c r="G50" s="3" t="s">
        <v>15</v>
      </c>
      <c r="H50" s="3" t="n">
        <v>9</v>
      </c>
      <c r="I50" s="4" t="n">
        <v>93.47</v>
      </c>
      <c r="J50" s="4" t="n">
        <f aca="false">H50*I50</f>
        <v>841.23</v>
      </c>
    </row>
    <row r="51" customFormat="false" ht="15" hidden="false" customHeight="false" outlineLevel="0" collapsed="false">
      <c r="A51" s="2" t="n">
        <v>1050</v>
      </c>
      <c r="B51" s="3" t="s">
        <v>22</v>
      </c>
      <c r="C51" s="3" t="s">
        <v>20</v>
      </c>
      <c r="D51" s="3" t="s">
        <v>23</v>
      </c>
      <c r="E51" s="3" t="s">
        <v>24</v>
      </c>
      <c r="F51" s="3" t="s">
        <v>34</v>
      </c>
      <c r="G51" s="3" t="s">
        <v>38</v>
      </c>
      <c r="H51" s="3" t="n">
        <v>5</v>
      </c>
      <c r="I51" s="4" t="n">
        <v>44</v>
      </c>
      <c r="J51" s="4" t="n">
        <f aca="false">H51*I51</f>
        <v>220</v>
      </c>
    </row>
    <row r="52" customFormat="false" ht="15" hidden="false" customHeight="false" outlineLevel="0" collapsed="false">
      <c r="A52" s="2" t="n">
        <v>1051</v>
      </c>
      <c r="B52" s="3" t="s">
        <v>22</v>
      </c>
      <c r="C52" s="3" t="s">
        <v>27</v>
      </c>
      <c r="D52" s="3" t="s">
        <v>12</v>
      </c>
      <c r="E52" s="3" t="s">
        <v>24</v>
      </c>
      <c r="F52" s="3" t="s">
        <v>48</v>
      </c>
      <c r="G52" s="3" t="s">
        <v>46</v>
      </c>
      <c r="H52" s="3" t="n">
        <v>9</v>
      </c>
      <c r="I52" s="4" t="n">
        <v>45.58</v>
      </c>
      <c r="J52" s="4" t="n">
        <f aca="false">H52*I52</f>
        <v>410.22</v>
      </c>
    </row>
    <row r="53" customFormat="false" ht="15" hidden="false" customHeight="false" outlineLevel="0" collapsed="false">
      <c r="A53" s="2" t="n">
        <v>1052</v>
      </c>
      <c r="B53" s="3" t="s">
        <v>26</v>
      </c>
      <c r="C53" s="3" t="s">
        <v>11</v>
      </c>
      <c r="D53" s="3" t="s">
        <v>23</v>
      </c>
      <c r="E53" s="3" t="s">
        <v>13</v>
      </c>
      <c r="F53" s="3" t="s">
        <v>47</v>
      </c>
      <c r="G53" s="3" t="s">
        <v>21</v>
      </c>
      <c r="H53" s="3" t="n">
        <v>9</v>
      </c>
      <c r="I53" s="4" t="n">
        <v>25.33</v>
      </c>
      <c r="J53" s="4" t="n">
        <f aca="false">H53*I53</f>
        <v>227.97</v>
      </c>
    </row>
    <row r="54" customFormat="false" ht="15" hidden="false" customHeight="false" outlineLevel="0" collapsed="false">
      <c r="A54" s="2" t="n">
        <v>1053</v>
      </c>
      <c r="B54" s="3" t="s">
        <v>22</v>
      </c>
      <c r="C54" s="3" t="s">
        <v>33</v>
      </c>
      <c r="D54" s="3" t="s">
        <v>23</v>
      </c>
      <c r="E54" s="3" t="s">
        <v>13</v>
      </c>
      <c r="F54" s="3" t="s">
        <v>28</v>
      </c>
      <c r="G54" s="3" t="s">
        <v>21</v>
      </c>
      <c r="H54" s="3" t="n">
        <v>11</v>
      </c>
      <c r="I54" s="4" t="n">
        <v>146.52</v>
      </c>
      <c r="J54" s="4" t="n">
        <f aca="false">H54*I54</f>
        <v>1611.72</v>
      </c>
    </row>
    <row r="55" customFormat="false" ht="15" hidden="false" customHeight="false" outlineLevel="0" collapsed="false">
      <c r="A55" s="2" t="n">
        <v>1054</v>
      </c>
      <c r="B55" s="3" t="s">
        <v>10</v>
      </c>
      <c r="C55" s="3" t="s">
        <v>11</v>
      </c>
      <c r="D55" s="3" t="s">
        <v>23</v>
      </c>
      <c r="E55" s="3" t="s">
        <v>24</v>
      </c>
      <c r="F55" s="3" t="s">
        <v>48</v>
      </c>
      <c r="G55" s="3" t="s">
        <v>21</v>
      </c>
      <c r="H55" s="3" t="n">
        <v>9</v>
      </c>
      <c r="I55" s="4" t="n">
        <v>51.23</v>
      </c>
      <c r="J55" s="4" t="n">
        <f aca="false">H55*I55</f>
        <v>461.07</v>
      </c>
    </row>
    <row r="56" customFormat="false" ht="15" hidden="false" customHeight="false" outlineLevel="0" collapsed="false">
      <c r="A56" s="2" t="n">
        <v>1055</v>
      </c>
      <c r="B56" s="3" t="s">
        <v>19</v>
      </c>
      <c r="C56" s="3" t="s">
        <v>33</v>
      </c>
      <c r="D56" s="3" t="s">
        <v>12</v>
      </c>
      <c r="E56" s="3" t="s">
        <v>30</v>
      </c>
      <c r="F56" s="3" t="s">
        <v>31</v>
      </c>
      <c r="G56" s="3" t="s">
        <v>21</v>
      </c>
      <c r="H56" s="3" t="n">
        <v>1</v>
      </c>
      <c r="I56" s="4" t="n">
        <v>45.7</v>
      </c>
      <c r="J56" s="4" t="n">
        <f aca="false">H56*I56</f>
        <v>45.7</v>
      </c>
    </row>
    <row r="57" customFormat="false" ht="15" hidden="false" customHeight="false" outlineLevel="0" collapsed="false">
      <c r="A57" s="2" t="n">
        <v>1056</v>
      </c>
      <c r="B57" s="3" t="s">
        <v>26</v>
      </c>
      <c r="C57" s="3" t="s">
        <v>11</v>
      </c>
      <c r="D57" s="3" t="s">
        <v>23</v>
      </c>
      <c r="E57" s="3" t="s">
        <v>16</v>
      </c>
      <c r="F57" s="3" t="s">
        <v>43</v>
      </c>
      <c r="G57" s="3" t="s">
        <v>35</v>
      </c>
      <c r="H57" s="3" t="n">
        <v>8</v>
      </c>
      <c r="I57" s="4" t="n">
        <v>65.8</v>
      </c>
      <c r="J57" s="4" t="n">
        <f aca="false">H57*I57</f>
        <v>526.4</v>
      </c>
    </row>
    <row r="58" customFormat="false" ht="15" hidden="false" customHeight="false" outlineLevel="0" collapsed="false">
      <c r="A58" s="2" t="n">
        <v>1057</v>
      </c>
      <c r="B58" s="3" t="s">
        <v>41</v>
      </c>
      <c r="C58" s="3" t="s">
        <v>33</v>
      </c>
      <c r="D58" s="3" t="s">
        <v>12</v>
      </c>
      <c r="E58" s="3" t="s">
        <v>13</v>
      </c>
      <c r="F58" s="3" t="s">
        <v>28</v>
      </c>
      <c r="G58" s="3" t="s">
        <v>18</v>
      </c>
      <c r="H58" s="3" t="n">
        <v>11</v>
      </c>
      <c r="I58" s="4" t="n">
        <v>125.51</v>
      </c>
      <c r="J58" s="4" t="n">
        <f aca="false">H58*I58</f>
        <v>1380.61</v>
      </c>
    </row>
    <row r="59" customFormat="false" ht="15" hidden="false" customHeight="false" outlineLevel="0" collapsed="false">
      <c r="A59" s="2" t="n">
        <v>1058</v>
      </c>
      <c r="B59" s="3" t="s">
        <v>22</v>
      </c>
      <c r="C59" s="3" t="s">
        <v>20</v>
      </c>
      <c r="D59" s="3" t="s">
        <v>12</v>
      </c>
      <c r="E59" s="3" t="s">
        <v>24</v>
      </c>
      <c r="F59" s="3" t="s">
        <v>34</v>
      </c>
      <c r="G59" s="3" t="s">
        <v>32</v>
      </c>
      <c r="H59" s="3" t="n">
        <v>3</v>
      </c>
      <c r="I59" s="4" t="n">
        <v>58.01</v>
      </c>
      <c r="J59" s="4" t="n">
        <f aca="false">H59*I59</f>
        <v>174.03</v>
      </c>
    </row>
    <row r="60" customFormat="false" ht="15" hidden="false" customHeight="false" outlineLevel="0" collapsed="false">
      <c r="A60" s="2" t="n">
        <v>1059</v>
      </c>
      <c r="B60" s="3" t="s">
        <v>41</v>
      </c>
      <c r="C60" s="3" t="s">
        <v>11</v>
      </c>
      <c r="D60" s="3" t="s">
        <v>23</v>
      </c>
      <c r="E60" s="3" t="s">
        <v>16</v>
      </c>
      <c r="F60" s="3" t="s">
        <v>42</v>
      </c>
      <c r="G60" s="3" t="s">
        <v>32</v>
      </c>
      <c r="H60" s="3" t="n">
        <v>11</v>
      </c>
      <c r="I60" s="4" t="n">
        <v>64.65</v>
      </c>
      <c r="J60" s="4" t="n">
        <f aca="false">H60*I60</f>
        <v>711.15</v>
      </c>
    </row>
    <row r="61" customFormat="false" ht="15" hidden="false" customHeight="false" outlineLevel="0" collapsed="false">
      <c r="A61" s="2" t="n">
        <v>1060</v>
      </c>
      <c r="B61" s="3" t="s">
        <v>22</v>
      </c>
      <c r="C61" s="3" t="s">
        <v>20</v>
      </c>
      <c r="D61" s="3" t="s">
        <v>23</v>
      </c>
      <c r="E61" s="3" t="s">
        <v>44</v>
      </c>
      <c r="F61" s="3" t="s">
        <v>51</v>
      </c>
      <c r="G61" s="3" t="s">
        <v>18</v>
      </c>
      <c r="H61" s="3" t="n">
        <v>12</v>
      </c>
      <c r="I61" s="4" t="n">
        <v>11.76</v>
      </c>
      <c r="J61" s="4" t="n">
        <f aca="false">H61*I61</f>
        <v>141.12</v>
      </c>
    </row>
    <row r="62" customFormat="false" ht="15" hidden="false" customHeight="false" outlineLevel="0" collapsed="false">
      <c r="A62" s="2" t="n">
        <v>1061</v>
      </c>
      <c r="B62" s="3" t="s">
        <v>22</v>
      </c>
      <c r="C62" s="3" t="s">
        <v>27</v>
      </c>
      <c r="D62" s="3" t="s">
        <v>12</v>
      </c>
      <c r="E62" s="3" t="s">
        <v>30</v>
      </c>
      <c r="F62" s="3" t="s">
        <v>40</v>
      </c>
      <c r="G62" s="3" t="s">
        <v>32</v>
      </c>
      <c r="H62" s="3" t="n">
        <v>4</v>
      </c>
      <c r="I62" s="4" t="n">
        <v>16.17</v>
      </c>
      <c r="J62" s="4" t="n">
        <f aca="false">H62*I62</f>
        <v>64.68</v>
      </c>
    </row>
    <row r="63" customFormat="false" ht="15" hidden="false" customHeight="false" outlineLevel="0" collapsed="false">
      <c r="A63" s="2" t="n">
        <v>1062</v>
      </c>
      <c r="B63" s="3" t="s">
        <v>41</v>
      </c>
      <c r="C63" s="3" t="s">
        <v>27</v>
      </c>
      <c r="D63" s="3" t="s">
        <v>23</v>
      </c>
      <c r="E63" s="3" t="s">
        <v>16</v>
      </c>
      <c r="F63" s="3" t="s">
        <v>43</v>
      </c>
      <c r="G63" s="3" t="s">
        <v>35</v>
      </c>
      <c r="H63" s="3" t="n">
        <v>8</v>
      </c>
      <c r="I63" s="4" t="n">
        <v>124</v>
      </c>
      <c r="J63" s="4" t="n">
        <f aca="false">H63*I63</f>
        <v>992</v>
      </c>
    </row>
    <row r="64" customFormat="false" ht="15" hidden="false" customHeight="false" outlineLevel="0" collapsed="false">
      <c r="A64" s="2" t="n">
        <v>1063</v>
      </c>
      <c r="B64" s="3" t="s">
        <v>26</v>
      </c>
      <c r="C64" s="3" t="s">
        <v>33</v>
      </c>
      <c r="D64" s="3" t="s">
        <v>23</v>
      </c>
      <c r="E64" s="3" t="s">
        <v>44</v>
      </c>
      <c r="F64" s="3" t="s">
        <v>52</v>
      </c>
      <c r="G64" s="3" t="s">
        <v>18</v>
      </c>
      <c r="H64" s="3" t="n">
        <v>4</v>
      </c>
      <c r="I64" s="4" t="n">
        <v>16.11</v>
      </c>
      <c r="J64" s="4" t="n">
        <f aca="false">H64*I64</f>
        <v>64.44</v>
      </c>
    </row>
    <row r="65" customFormat="false" ht="15" hidden="false" customHeight="false" outlineLevel="0" collapsed="false">
      <c r="A65" s="2" t="n">
        <v>1064</v>
      </c>
      <c r="B65" s="3" t="s">
        <v>10</v>
      </c>
      <c r="C65" s="3" t="s">
        <v>33</v>
      </c>
      <c r="D65" s="3" t="s">
        <v>23</v>
      </c>
      <c r="E65" s="3" t="s">
        <v>24</v>
      </c>
      <c r="F65" s="3" t="s">
        <v>48</v>
      </c>
      <c r="G65" s="3" t="s">
        <v>38</v>
      </c>
      <c r="H65" s="3" t="n">
        <v>5</v>
      </c>
      <c r="I65" s="4" t="n">
        <v>12.8</v>
      </c>
      <c r="J65" s="4" t="n">
        <f aca="false">H65*I65</f>
        <v>64</v>
      </c>
    </row>
    <row r="66" customFormat="false" ht="15" hidden="false" customHeight="false" outlineLevel="0" collapsed="false">
      <c r="A66" s="2" t="n">
        <v>1065</v>
      </c>
      <c r="B66" s="3" t="s">
        <v>39</v>
      </c>
      <c r="C66" s="3" t="s">
        <v>11</v>
      </c>
      <c r="D66" s="3" t="s">
        <v>12</v>
      </c>
      <c r="E66" s="3" t="s">
        <v>16</v>
      </c>
      <c r="F66" s="3" t="s">
        <v>42</v>
      </c>
      <c r="G66" s="3" t="s">
        <v>15</v>
      </c>
      <c r="H66" s="3" t="n">
        <v>4</v>
      </c>
      <c r="I66" s="4" t="n">
        <v>26.6</v>
      </c>
      <c r="J66" s="4" t="n">
        <f aca="false">H66*I66</f>
        <v>106.4</v>
      </c>
    </row>
    <row r="67" customFormat="false" ht="15" hidden="false" customHeight="false" outlineLevel="0" collapsed="false">
      <c r="A67" s="2" t="n">
        <v>1066</v>
      </c>
      <c r="B67" s="3" t="s">
        <v>39</v>
      </c>
      <c r="C67" s="3" t="s">
        <v>20</v>
      </c>
      <c r="D67" s="3" t="s">
        <v>12</v>
      </c>
      <c r="E67" s="3" t="s">
        <v>44</v>
      </c>
      <c r="F67" s="3" t="s">
        <v>52</v>
      </c>
      <c r="G67" s="3" t="s">
        <v>21</v>
      </c>
      <c r="H67" s="3" t="n">
        <v>8</v>
      </c>
      <c r="I67" s="4" t="n">
        <v>18.9</v>
      </c>
      <c r="J67" s="4" t="n">
        <f aca="false">H67*I67</f>
        <v>151.2</v>
      </c>
    </row>
    <row r="68" customFormat="false" ht="15" hidden="false" customHeight="false" outlineLevel="0" collapsed="false">
      <c r="A68" s="2" t="n">
        <v>1067</v>
      </c>
      <c r="B68" s="3" t="s">
        <v>39</v>
      </c>
      <c r="C68" s="3" t="s">
        <v>27</v>
      </c>
      <c r="D68" s="3" t="s">
        <v>12</v>
      </c>
      <c r="E68" s="3" t="s">
        <v>44</v>
      </c>
      <c r="F68" s="3" t="s">
        <v>45</v>
      </c>
      <c r="G68" s="3" t="s">
        <v>38</v>
      </c>
      <c r="H68" s="3" t="n">
        <v>10</v>
      </c>
      <c r="I68" s="4" t="n">
        <v>39.41</v>
      </c>
      <c r="J68" s="4" t="n">
        <f aca="false">H68*I68</f>
        <v>394.1</v>
      </c>
    </row>
    <row r="69" customFormat="false" ht="15" hidden="false" customHeight="false" outlineLevel="0" collapsed="false">
      <c r="A69" s="2" t="n">
        <v>1068</v>
      </c>
      <c r="B69" s="3" t="s">
        <v>41</v>
      </c>
      <c r="C69" s="3" t="s">
        <v>11</v>
      </c>
      <c r="D69" s="3" t="s">
        <v>23</v>
      </c>
      <c r="E69" s="3" t="s">
        <v>24</v>
      </c>
      <c r="F69" s="3" t="s">
        <v>48</v>
      </c>
      <c r="G69" s="3" t="s">
        <v>18</v>
      </c>
      <c r="H69" s="3" t="n">
        <v>7</v>
      </c>
      <c r="I69" s="4" t="n">
        <v>60.91</v>
      </c>
      <c r="J69" s="4" t="n">
        <f aca="false">H69*I69</f>
        <v>426.37</v>
      </c>
    </row>
    <row r="70" customFormat="false" ht="15" hidden="false" customHeight="false" outlineLevel="0" collapsed="false">
      <c r="A70" s="2" t="n">
        <v>1069</v>
      </c>
      <c r="B70" s="3" t="s">
        <v>19</v>
      </c>
      <c r="C70" s="3" t="s">
        <v>27</v>
      </c>
      <c r="D70" s="3" t="s">
        <v>12</v>
      </c>
      <c r="E70" s="3" t="s">
        <v>24</v>
      </c>
      <c r="F70" s="3" t="s">
        <v>48</v>
      </c>
      <c r="G70" s="3" t="s">
        <v>32</v>
      </c>
      <c r="H70" s="3" t="n">
        <v>7</v>
      </c>
      <c r="I70" s="4" t="n">
        <v>38.11</v>
      </c>
      <c r="J70" s="4" t="n">
        <f aca="false">H70*I70</f>
        <v>266.77</v>
      </c>
    </row>
    <row r="71" customFormat="false" ht="15" hidden="false" customHeight="false" outlineLevel="0" collapsed="false">
      <c r="A71" s="2" t="n">
        <v>1070</v>
      </c>
      <c r="B71" s="3" t="s">
        <v>41</v>
      </c>
      <c r="C71" s="3" t="s">
        <v>20</v>
      </c>
      <c r="D71" s="3" t="s">
        <v>12</v>
      </c>
      <c r="E71" s="3" t="s">
        <v>30</v>
      </c>
      <c r="F71" s="3" t="s">
        <v>37</v>
      </c>
      <c r="G71" s="3" t="s">
        <v>21</v>
      </c>
      <c r="H71" s="3" t="n">
        <v>10</v>
      </c>
      <c r="I71" s="4" t="n">
        <v>87.28</v>
      </c>
      <c r="J71" s="4" t="n">
        <f aca="false">H71*I71</f>
        <v>872.8</v>
      </c>
    </row>
    <row r="72" customFormat="false" ht="15" hidden="false" customHeight="false" outlineLevel="0" collapsed="false">
      <c r="A72" s="2" t="n">
        <v>1071</v>
      </c>
      <c r="B72" s="3" t="s">
        <v>39</v>
      </c>
      <c r="C72" s="3" t="s">
        <v>33</v>
      </c>
      <c r="D72" s="3" t="s">
        <v>12</v>
      </c>
      <c r="E72" s="3" t="s">
        <v>30</v>
      </c>
      <c r="F72" s="3" t="s">
        <v>40</v>
      </c>
      <c r="G72" s="3" t="s">
        <v>32</v>
      </c>
      <c r="H72" s="3" t="n">
        <v>5</v>
      </c>
      <c r="I72" s="4" t="n">
        <v>27.08</v>
      </c>
      <c r="J72" s="4" t="n">
        <f aca="false">H72*I72</f>
        <v>135.4</v>
      </c>
    </row>
    <row r="73" customFormat="false" ht="15" hidden="false" customHeight="false" outlineLevel="0" collapsed="false">
      <c r="A73" s="2" t="n">
        <v>1072</v>
      </c>
      <c r="B73" s="3" t="s">
        <v>19</v>
      </c>
      <c r="C73" s="3" t="s">
        <v>27</v>
      </c>
      <c r="D73" s="3" t="s">
        <v>23</v>
      </c>
      <c r="E73" s="3" t="s">
        <v>24</v>
      </c>
      <c r="F73" s="3" t="s">
        <v>25</v>
      </c>
      <c r="G73" s="3" t="s">
        <v>15</v>
      </c>
      <c r="H73" s="3" t="n">
        <v>7</v>
      </c>
      <c r="I73" s="4" t="n">
        <v>55.2</v>
      </c>
      <c r="J73" s="4" t="n">
        <f aca="false">H73*I73</f>
        <v>386.4</v>
      </c>
    </row>
    <row r="74" customFormat="false" ht="15" hidden="false" customHeight="false" outlineLevel="0" collapsed="false">
      <c r="A74" s="2" t="n">
        <v>1073</v>
      </c>
      <c r="B74" s="3" t="s">
        <v>19</v>
      </c>
      <c r="C74" s="3" t="s">
        <v>11</v>
      </c>
      <c r="D74" s="3" t="s">
        <v>12</v>
      </c>
      <c r="E74" s="3" t="s">
        <v>44</v>
      </c>
      <c r="F74" s="3" t="s">
        <v>45</v>
      </c>
      <c r="G74" s="3" t="s">
        <v>29</v>
      </c>
      <c r="H74" s="3" t="n">
        <v>1</v>
      </c>
      <c r="I74" s="4" t="n">
        <v>35.21</v>
      </c>
      <c r="J74" s="4" t="n">
        <f aca="false">H74*I74</f>
        <v>35.21</v>
      </c>
    </row>
    <row r="75" customFormat="false" ht="15" hidden="false" customHeight="false" outlineLevel="0" collapsed="false">
      <c r="A75" s="2" t="n">
        <v>1074</v>
      </c>
      <c r="B75" s="3" t="s">
        <v>41</v>
      </c>
      <c r="C75" s="3" t="s">
        <v>11</v>
      </c>
      <c r="D75" s="3" t="s">
        <v>12</v>
      </c>
      <c r="E75" s="3" t="s">
        <v>13</v>
      </c>
      <c r="F75" s="3" t="s">
        <v>50</v>
      </c>
      <c r="G75" s="3" t="s">
        <v>35</v>
      </c>
      <c r="H75" s="3" t="n">
        <v>1</v>
      </c>
      <c r="I75" s="4" t="n">
        <v>63.88</v>
      </c>
      <c r="J75" s="4" t="n">
        <f aca="false">H75*I75</f>
        <v>63.88</v>
      </c>
    </row>
    <row r="76" customFormat="false" ht="15" hidden="false" customHeight="false" outlineLevel="0" collapsed="false">
      <c r="A76" s="2" t="n">
        <v>1075</v>
      </c>
      <c r="B76" s="3" t="s">
        <v>39</v>
      </c>
      <c r="C76" s="3" t="s">
        <v>33</v>
      </c>
      <c r="D76" s="3" t="s">
        <v>23</v>
      </c>
      <c r="E76" s="3" t="s">
        <v>44</v>
      </c>
      <c r="F76" s="3" t="s">
        <v>45</v>
      </c>
      <c r="G76" s="3" t="s">
        <v>35</v>
      </c>
      <c r="H76" s="3" t="n">
        <v>4</v>
      </c>
      <c r="I76" s="4" t="n">
        <v>27.99</v>
      </c>
      <c r="J76" s="4" t="n">
        <f aca="false">H76*I76</f>
        <v>111.96</v>
      </c>
    </row>
    <row r="77" customFormat="false" ht="15" hidden="false" customHeight="false" outlineLevel="0" collapsed="false">
      <c r="A77" s="2" t="n">
        <v>1076</v>
      </c>
      <c r="B77" s="3" t="s">
        <v>19</v>
      </c>
      <c r="C77" s="3" t="s">
        <v>20</v>
      </c>
      <c r="D77" s="3" t="s">
        <v>12</v>
      </c>
      <c r="E77" s="3" t="s">
        <v>16</v>
      </c>
      <c r="F77" s="3" t="s">
        <v>42</v>
      </c>
      <c r="G77" s="3" t="s">
        <v>46</v>
      </c>
      <c r="H77" s="3" t="n">
        <v>3</v>
      </c>
      <c r="I77" s="4" t="n">
        <v>103.34</v>
      </c>
      <c r="J77" s="4" t="n">
        <f aca="false">H77*I77</f>
        <v>310.02</v>
      </c>
    </row>
    <row r="78" customFormat="false" ht="15" hidden="false" customHeight="false" outlineLevel="0" collapsed="false">
      <c r="A78" s="2" t="n">
        <v>1077</v>
      </c>
      <c r="B78" s="3" t="s">
        <v>10</v>
      </c>
      <c r="C78" s="3" t="s">
        <v>20</v>
      </c>
      <c r="D78" s="3" t="s">
        <v>12</v>
      </c>
      <c r="E78" s="3" t="s">
        <v>16</v>
      </c>
      <c r="F78" s="3" t="s">
        <v>17</v>
      </c>
      <c r="G78" s="3" t="s">
        <v>15</v>
      </c>
      <c r="H78" s="3" t="n">
        <v>12</v>
      </c>
      <c r="I78" s="4" t="n">
        <v>57.6</v>
      </c>
      <c r="J78" s="4" t="n">
        <f aca="false">H78*I78</f>
        <v>691.2</v>
      </c>
    </row>
    <row r="79" customFormat="false" ht="15" hidden="false" customHeight="false" outlineLevel="0" collapsed="false">
      <c r="A79" s="2" t="n">
        <v>1078</v>
      </c>
      <c r="B79" s="3" t="s">
        <v>22</v>
      </c>
      <c r="C79" s="3" t="s">
        <v>33</v>
      </c>
      <c r="D79" s="3" t="s">
        <v>23</v>
      </c>
      <c r="E79" s="3" t="s">
        <v>24</v>
      </c>
      <c r="F79" s="3" t="s">
        <v>49</v>
      </c>
      <c r="G79" s="3" t="s">
        <v>38</v>
      </c>
      <c r="H79" s="3" t="n">
        <v>10</v>
      </c>
      <c r="I79" s="4" t="n">
        <v>57.37</v>
      </c>
      <c r="J79" s="4" t="n">
        <f aca="false">H79*I79</f>
        <v>573.7</v>
      </c>
    </row>
    <row r="80" customFormat="false" ht="15" hidden="false" customHeight="false" outlineLevel="0" collapsed="false">
      <c r="A80" s="2" t="n">
        <v>1079</v>
      </c>
      <c r="B80" s="3" t="s">
        <v>39</v>
      </c>
      <c r="C80" s="3" t="s">
        <v>20</v>
      </c>
      <c r="D80" s="3" t="s">
        <v>23</v>
      </c>
      <c r="E80" s="3" t="s">
        <v>13</v>
      </c>
      <c r="F80" s="3" t="s">
        <v>28</v>
      </c>
      <c r="G80" s="3" t="s">
        <v>38</v>
      </c>
      <c r="H80" s="3" t="n">
        <v>7</v>
      </c>
      <c r="I80" s="4" t="n">
        <v>27.47</v>
      </c>
      <c r="J80" s="4" t="n">
        <f aca="false">H80*I80</f>
        <v>192.29</v>
      </c>
    </row>
    <row r="81" customFormat="false" ht="15" hidden="false" customHeight="false" outlineLevel="0" collapsed="false">
      <c r="A81" s="2" t="n">
        <v>1080</v>
      </c>
      <c r="B81" s="3" t="s">
        <v>41</v>
      </c>
      <c r="C81" s="3" t="s">
        <v>33</v>
      </c>
      <c r="D81" s="3" t="s">
        <v>23</v>
      </c>
      <c r="E81" s="3" t="s">
        <v>44</v>
      </c>
      <c r="F81" s="3" t="s">
        <v>51</v>
      </c>
      <c r="G81" s="3" t="s">
        <v>32</v>
      </c>
      <c r="H81" s="3" t="n">
        <v>12</v>
      </c>
      <c r="I81" s="4" t="n">
        <v>22.98</v>
      </c>
      <c r="J81" s="4" t="n">
        <f aca="false">H81*I81</f>
        <v>275.76</v>
      </c>
    </row>
    <row r="82" customFormat="false" ht="15" hidden="false" customHeight="false" outlineLevel="0" collapsed="false">
      <c r="A82" s="2" t="n">
        <v>1081</v>
      </c>
      <c r="B82" s="3" t="s">
        <v>22</v>
      </c>
      <c r="C82" s="3" t="s">
        <v>33</v>
      </c>
      <c r="D82" s="3" t="s">
        <v>23</v>
      </c>
      <c r="E82" s="3" t="s">
        <v>44</v>
      </c>
      <c r="F82" s="3" t="s">
        <v>53</v>
      </c>
      <c r="G82" s="3" t="s">
        <v>18</v>
      </c>
      <c r="H82" s="3" t="n">
        <v>4</v>
      </c>
      <c r="I82" s="4" t="n">
        <v>18.57</v>
      </c>
      <c r="J82" s="4" t="n">
        <f aca="false">H82*I82</f>
        <v>74.28</v>
      </c>
    </row>
    <row r="83" customFormat="false" ht="15" hidden="false" customHeight="false" outlineLevel="0" collapsed="false">
      <c r="A83" s="2" t="n">
        <v>1082</v>
      </c>
      <c r="B83" s="3" t="s">
        <v>19</v>
      </c>
      <c r="C83" s="3" t="s">
        <v>11</v>
      </c>
      <c r="D83" s="3" t="s">
        <v>23</v>
      </c>
      <c r="E83" s="3" t="s">
        <v>44</v>
      </c>
      <c r="F83" s="3" t="s">
        <v>52</v>
      </c>
      <c r="G83" s="3" t="s">
        <v>18</v>
      </c>
      <c r="H83" s="3" t="n">
        <v>8</v>
      </c>
      <c r="I83" s="4" t="n">
        <v>19.12</v>
      </c>
      <c r="J83" s="4" t="n">
        <f aca="false">H83*I83</f>
        <v>152.96</v>
      </c>
    </row>
    <row r="84" customFormat="false" ht="15" hidden="false" customHeight="false" outlineLevel="0" collapsed="false">
      <c r="A84" s="2" t="n">
        <v>1083</v>
      </c>
      <c r="B84" s="3" t="s">
        <v>26</v>
      </c>
      <c r="C84" s="3" t="s">
        <v>33</v>
      </c>
      <c r="D84" s="3" t="s">
        <v>12</v>
      </c>
      <c r="E84" s="3" t="s">
        <v>24</v>
      </c>
      <c r="F84" s="3" t="s">
        <v>25</v>
      </c>
      <c r="G84" s="3" t="s">
        <v>18</v>
      </c>
      <c r="H84" s="3" t="n">
        <v>10</v>
      </c>
      <c r="I84" s="4" t="n">
        <v>29.1</v>
      </c>
      <c r="J84" s="4" t="n">
        <f aca="false">H84*I84</f>
        <v>291</v>
      </c>
    </row>
    <row r="85" customFormat="false" ht="15" hidden="false" customHeight="false" outlineLevel="0" collapsed="false">
      <c r="A85" s="2" t="n">
        <v>1084</v>
      </c>
      <c r="B85" s="3" t="s">
        <v>41</v>
      </c>
      <c r="C85" s="3" t="s">
        <v>11</v>
      </c>
      <c r="D85" s="3" t="s">
        <v>23</v>
      </c>
      <c r="E85" s="3" t="s">
        <v>13</v>
      </c>
      <c r="F85" s="3" t="s">
        <v>50</v>
      </c>
      <c r="G85" s="3" t="s">
        <v>32</v>
      </c>
      <c r="H85" s="3" t="n">
        <v>8</v>
      </c>
      <c r="I85" s="4" t="n">
        <v>165.41</v>
      </c>
      <c r="J85" s="4" t="n">
        <f aca="false">H85*I85</f>
        <v>1323.28</v>
      </c>
    </row>
    <row r="86" customFormat="false" ht="15" hidden="false" customHeight="false" outlineLevel="0" collapsed="false">
      <c r="A86" s="2" t="n">
        <v>1085</v>
      </c>
      <c r="B86" s="3" t="s">
        <v>39</v>
      </c>
      <c r="C86" s="3" t="s">
        <v>11</v>
      </c>
      <c r="D86" s="3" t="s">
        <v>23</v>
      </c>
      <c r="E86" s="3" t="s">
        <v>44</v>
      </c>
      <c r="F86" s="3" t="s">
        <v>45</v>
      </c>
      <c r="G86" s="3" t="s">
        <v>38</v>
      </c>
      <c r="H86" s="3" t="n">
        <v>4</v>
      </c>
      <c r="I86" s="4" t="n">
        <v>9.63</v>
      </c>
      <c r="J86" s="4" t="n">
        <f aca="false">H86*I86</f>
        <v>38.52</v>
      </c>
    </row>
    <row r="87" customFormat="false" ht="15" hidden="false" customHeight="false" outlineLevel="0" collapsed="false">
      <c r="A87" s="2" t="n">
        <v>1086</v>
      </c>
      <c r="B87" s="3" t="s">
        <v>41</v>
      </c>
      <c r="C87" s="3" t="s">
        <v>33</v>
      </c>
      <c r="D87" s="3" t="s">
        <v>23</v>
      </c>
      <c r="E87" s="3" t="s">
        <v>44</v>
      </c>
      <c r="F87" s="3" t="s">
        <v>53</v>
      </c>
      <c r="G87" s="3" t="s">
        <v>32</v>
      </c>
      <c r="H87" s="3" t="n">
        <v>12</v>
      </c>
      <c r="I87" s="4" t="n">
        <v>22.59</v>
      </c>
      <c r="J87" s="4" t="n">
        <f aca="false">H87*I87</f>
        <v>271.08</v>
      </c>
    </row>
    <row r="88" customFormat="false" ht="15" hidden="false" customHeight="false" outlineLevel="0" collapsed="false">
      <c r="A88" s="2" t="n">
        <v>1087</v>
      </c>
      <c r="B88" s="3" t="s">
        <v>26</v>
      </c>
      <c r="C88" s="3" t="s">
        <v>11</v>
      </c>
      <c r="D88" s="3" t="s">
        <v>23</v>
      </c>
      <c r="E88" s="3" t="s">
        <v>24</v>
      </c>
      <c r="F88" s="3" t="s">
        <v>25</v>
      </c>
      <c r="G88" s="3" t="s">
        <v>15</v>
      </c>
      <c r="H88" s="3" t="n">
        <v>2</v>
      </c>
      <c r="I88" s="4" t="n">
        <v>23.59</v>
      </c>
      <c r="J88" s="4" t="n">
        <f aca="false">H88*I88</f>
        <v>47.18</v>
      </c>
    </row>
    <row r="89" customFormat="false" ht="15" hidden="false" customHeight="false" outlineLevel="0" collapsed="false">
      <c r="A89" s="2" t="n">
        <v>1088</v>
      </c>
      <c r="B89" s="3" t="s">
        <v>39</v>
      </c>
      <c r="C89" s="3" t="s">
        <v>33</v>
      </c>
      <c r="D89" s="3" t="s">
        <v>23</v>
      </c>
      <c r="E89" s="3" t="s">
        <v>16</v>
      </c>
      <c r="F89" s="3" t="s">
        <v>36</v>
      </c>
      <c r="G89" s="3" t="s">
        <v>15</v>
      </c>
      <c r="H89" s="3" t="n">
        <v>12</v>
      </c>
      <c r="I89" s="4" t="n">
        <v>32.98</v>
      </c>
      <c r="J89" s="4" t="n">
        <f aca="false">H89*I89</f>
        <v>395.76</v>
      </c>
    </row>
    <row r="90" customFormat="false" ht="15" hidden="false" customHeight="false" outlineLevel="0" collapsed="false">
      <c r="A90" s="2" t="n">
        <v>1089</v>
      </c>
      <c r="B90" s="3" t="s">
        <v>19</v>
      </c>
      <c r="C90" s="3" t="s">
        <v>20</v>
      </c>
      <c r="D90" s="3" t="s">
        <v>12</v>
      </c>
      <c r="E90" s="3" t="s">
        <v>30</v>
      </c>
      <c r="F90" s="3" t="s">
        <v>31</v>
      </c>
      <c r="G90" s="3" t="s">
        <v>46</v>
      </c>
      <c r="H90" s="3" t="n">
        <v>3</v>
      </c>
      <c r="I90" s="4" t="n">
        <v>30.88</v>
      </c>
      <c r="J90" s="4" t="n">
        <f aca="false">H90*I90</f>
        <v>92.64</v>
      </c>
    </row>
    <row r="91" customFormat="false" ht="15" hidden="false" customHeight="false" outlineLevel="0" collapsed="false">
      <c r="A91" s="2" t="n">
        <v>1090</v>
      </c>
      <c r="B91" s="3" t="s">
        <v>10</v>
      </c>
      <c r="C91" s="3" t="s">
        <v>27</v>
      </c>
      <c r="D91" s="3" t="s">
        <v>12</v>
      </c>
      <c r="E91" s="3" t="s">
        <v>13</v>
      </c>
      <c r="F91" s="3" t="s">
        <v>14</v>
      </c>
      <c r="G91" s="3" t="s">
        <v>29</v>
      </c>
      <c r="H91" s="3" t="n">
        <v>12</v>
      </c>
      <c r="I91" s="4" t="n">
        <v>132.9</v>
      </c>
      <c r="J91" s="4" t="n">
        <f aca="false">H91*I91</f>
        <v>1594.8</v>
      </c>
    </row>
    <row r="92" customFormat="false" ht="15" hidden="false" customHeight="false" outlineLevel="0" collapsed="false">
      <c r="A92" s="2" t="n">
        <v>1091</v>
      </c>
      <c r="B92" s="3" t="s">
        <v>19</v>
      </c>
      <c r="C92" s="3" t="s">
        <v>11</v>
      </c>
      <c r="D92" s="3" t="s">
        <v>12</v>
      </c>
      <c r="E92" s="3" t="s">
        <v>16</v>
      </c>
      <c r="F92" s="3" t="s">
        <v>43</v>
      </c>
      <c r="G92" s="3" t="s">
        <v>46</v>
      </c>
      <c r="H92" s="3" t="n">
        <v>8</v>
      </c>
      <c r="I92" s="4" t="n">
        <v>66.33</v>
      </c>
      <c r="J92" s="4" t="n">
        <f aca="false">H92*I92</f>
        <v>530.64</v>
      </c>
    </row>
    <row r="93" customFormat="false" ht="15" hidden="false" customHeight="false" outlineLevel="0" collapsed="false">
      <c r="A93" s="2" t="n">
        <v>1092</v>
      </c>
      <c r="B93" s="3" t="s">
        <v>39</v>
      </c>
      <c r="C93" s="3" t="s">
        <v>20</v>
      </c>
      <c r="D93" s="3" t="s">
        <v>12</v>
      </c>
      <c r="E93" s="3" t="s">
        <v>44</v>
      </c>
      <c r="F93" s="3" t="s">
        <v>45</v>
      </c>
      <c r="G93" s="3" t="s">
        <v>35</v>
      </c>
      <c r="H93" s="3" t="n">
        <v>7</v>
      </c>
      <c r="I93" s="4" t="n">
        <v>38.06</v>
      </c>
      <c r="J93" s="4" t="n">
        <f aca="false">H93*I93</f>
        <v>266.42</v>
      </c>
    </row>
    <row r="94" customFormat="false" ht="15" hidden="false" customHeight="false" outlineLevel="0" collapsed="false">
      <c r="A94" s="2" t="n">
        <v>1093</v>
      </c>
      <c r="B94" s="3" t="s">
        <v>22</v>
      </c>
      <c r="C94" s="3" t="s">
        <v>27</v>
      </c>
      <c r="D94" s="3" t="s">
        <v>12</v>
      </c>
      <c r="E94" s="3" t="s">
        <v>30</v>
      </c>
      <c r="F94" s="3" t="s">
        <v>31</v>
      </c>
      <c r="G94" s="3" t="s">
        <v>21</v>
      </c>
      <c r="H94" s="3" t="n">
        <v>4</v>
      </c>
      <c r="I94" s="4" t="n">
        <v>19.07</v>
      </c>
      <c r="J94" s="4" t="n">
        <f aca="false">H94*I94</f>
        <v>76.28</v>
      </c>
    </row>
    <row r="95" customFormat="false" ht="15" hidden="false" customHeight="false" outlineLevel="0" collapsed="false">
      <c r="A95" s="2" t="n">
        <v>1094</v>
      </c>
      <c r="B95" s="3" t="s">
        <v>39</v>
      </c>
      <c r="C95" s="3" t="s">
        <v>33</v>
      </c>
      <c r="D95" s="3" t="s">
        <v>12</v>
      </c>
      <c r="E95" s="3" t="s">
        <v>44</v>
      </c>
      <c r="F95" s="3" t="s">
        <v>52</v>
      </c>
      <c r="G95" s="3" t="s">
        <v>15</v>
      </c>
      <c r="H95" s="3" t="n">
        <v>10</v>
      </c>
      <c r="I95" s="4" t="n">
        <v>17.6</v>
      </c>
      <c r="J95" s="4" t="n">
        <f aca="false">H95*I95</f>
        <v>176</v>
      </c>
    </row>
    <row r="96" customFormat="false" ht="15" hidden="false" customHeight="false" outlineLevel="0" collapsed="false">
      <c r="A96" s="2" t="n">
        <v>1095</v>
      </c>
      <c r="B96" s="3" t="s">
        <v>10</v>
      </c>
      <c r="C96" s="3" t="s">
        <v>11</v>
      </c>
      <c r="D96" s="3" t="s">
        <v>12</v>
      </c>
      <c r="E96" s="3" t="s">
        <v>30</v>
      </c>
      <c r="F96" s="3" t="s">
        <v>54</v>
      </c>
      <c r="G96" s="3" t="s">
        <v>15</v>
      </c>
      <c r="H96" s="3" t="n">
        <v>2</v>
      </c>
      <c r="I96" s="4" t="n">
        <v>33.97</v>
      </c>
      <c r="J96" s="4" t="n">
        <f aca="false">H96*I96</f>
        <v>67.94</v>
      </c>
    </row>
    <row r="97" customFormat="false" ht="15" hidden="false" customHeight="false" outlineLevel="0" collapsed="false">
      <c r="A97" s="2" t="n">
        <v>1096</v>
      </c>
      <c r="B97" s="3" t="s">
        <v>41</v>
      </c>
      <c r="C97" s="3" t="s">
        <v>27</v>
      </c>
      <c r="D97" s="3" t="s">
        <v>23</v>
      </c>
      <c r="E97" s="3" t="s">
        <v>30</v>
      </c>
      <c r="F97" s="3" t="s">
        <v>37</v>
      </c>
      <c r="G97" s="3" t="s">
        <v>29</v>
      </c>
      <c r="H97" s="3" t="n">
        <v>12</v>
      </c>
      <c r="I97" s="4" t="n">
        <v>45.91</v>
      </c>
      <c r="J97" s="4" t="n">
        <f aca="false">H97*I97</f>
        <v>550.92</v>
      </c>
    </row>
    <row r="98" customFormat="false" ht="15" hidden="false" customHeight="false" outlineLevel="0" collapsed="false">
      <c r="A98" s="2" t="n">
        <v>1097</v>
      </c>
      <c r="B98" s="3" t="s">
        <v>39</v>
      </c>
      <c r="C98" s="3" t="s">
        <v>20</v>
      </c>
      <c r="D98" s="3" t="s">
        <v>12</v>
      </c>
      <c r="E98" s="3" t="s">
        <v>30</v>
      </c>
      <c r="F98" s="3" t="s">
        <v>31</v>
      </c>
      <c r="G98" s="3" t="s">
        <v>46</v>
      </c>
      <c r="H98" s="3" t="n">
        <v>12</v>
      </c>
      <c r="I98" s="4" t="n">
        <v>70.68</v>
      </c>
      <c r="J98" s="4" t="n">
        <f aca="false">H98*I98</f>
        <v>848.16</v>
      </c>
    </row>
    <row r="99" customFormat="false" ht="15" hidden="false" customHeight="false" outlineLevel="0" collapsed="false">
      <c r="A99" s="2" t="n">
        <v>1098</v>
      </c>
      <c r="B99" s="3" t="s">
        <v>10</v>
      </c>
      <c r="C99" s="3" t="s">
        <v>11</v>
      </c>
      <c r="D99" s="3" t="s">
        <v>23</v>
      </c>
      <c r="E99" s="3" t="s">
        <v>16</v>
      </c>
      <c r="F99" s="3" t="s">
        <v>36</v>
      </c>
      <c r="G99" s="3" t="s">
        <v>35</v>
      </c>
      <c r="H99" s="3" t="n">
        <v>9</v>
      </c>
      <c r="I99" s="4" t="n">
        <v>61.02</v>
      </c>
      <c r="J99" s="4" t="n">
        <f aca="false">H99*I99</f>
        <v>549.18</v>
      </c>
    </row>
    <row r="100" customFormat="false" ht="15" hidden="false" customHeight="false" outlineLevel="0" collapsed="false">
      <c r="A100" s="2" t="n">
        <v>1099</v>
      </c>
      <c r="B100" s="3" t="s">
        <v>41</v>
      </c>
      <c r="C100" s="3" t="s">
        <v>33</v>
      </c>
      <c r="D100" s="3" t="s">
        <v>23</v>
      </c>
      <c r="E100" s="3" t="s">
        <v>13</v>
      </c>
      <c r="F100" s="3" t="s">
        <v>14</v>
      </c>
      <c r="G100" s="3" t="s">
        <v>15</v>
      </c>
      <c r="H100" s="3" t="n">
        <v>5</v>
      </c>
      <c r="I100" s="4" t="n">
        <v>57.35</v>
      </c>
      <c r="J100" s="4" t="n">
        <f aca="false">H100*I100</f>
        <v>286.75</v>
      </c>
    </row>
    <row r="101" customFormat="false" ht="15" hidden="false" customHeight="false" outlineLevel="0" collapsed="false">
      <c r="A101" s="2" t="n">
        <v>1100</v>
      </c>
      <c r="B101" s="3" t="s">
        <v>41</v>
      </c>
      <c r="C101" s="3" t="s">
        <v>27</v>
      </c>
      <c r="D101" s="3" t="s">
        <v>23</v>
      </c>
      <c r="E101" s="3" t="s">
        <v>44</v>
      </c>
      <c r="F101" s="3" t="s">
        <v>53</v>
      </c>
      <c r="G101" s="3" t="s">
        <v>15</v>
      </c>
      <c r="H101" s="3" t="n">
        <v>5</v>
      </c>
      <c r="I101" s="4" t="n">
        <v>33.29</v>
      </c>
      <c r="J101" s="4" t="n">
        <f aca="false">H101*I101</f>
        <v>166.45</v>
      </c>
    </row>
    <row r="102" customFormat="false" ht="15" hidden="false" customHeight="false" outlineLevel="0" collapsed="false">
      <c r="A102" s="2" t="n">
        <v>1101</v>
      </c>
      <c r="B102" s="3" t="s">
        <v>19</v>
      </c>
      <c r="C102" s="3" t="s">
        <v>33</v>
      </c>
      <c r="D102" s="3" t="s">
        <v>12</v>
      </c>
      <c r="E102" s="3" t="s">
        <v>16</v>
      </c>
      <c r="F102" s="3" t="s">
        <v>42</v>
      </c>
      <c r="G102" s="3" t="s">
        <v>15</v>
      </c>
      <c r="H102" s="3" t="n">
        <v>12</v>
      </c>
      <c r="I102" s="4" t="n">
        <v>116.73</v>
      </c>
      <c r="J102" s="4" t="n">
        <f aca="false">H102*I102</f>
        <v>1400.76</v>
      </c>
    </row>
    <row r="103" customFormat="false" ht="15" hidden="false" customHeight="false" outlineLevel="0" collapsed="false">
      <c r="A103" s="2" t="n">
        <v>1102</v>
      </c>
      <c r="B103" s="3" t="s">
        <v>19</v>
      </c>
      <c r="C103" s="3" t="s">
        <v>20</v>
      </c>
      <c r="D103" s="3" t="s">
        <v>12</v>
      </c>
      <c r="E103" s="3" t="s">
        <v>30</v>
      </c>
      <c r="F103" s="3" t="s">
        <v>37</v>
      </c>
      <c r="G103" s="3" t="s">
        <v>32</v>
      </c>
      <c r="H103" s="3" t="n">
        <v>11</v>
      </c>
      <c r="I103" s="4" t="n">
        <v>94.96</v>
      </c>
      <c r="J103" s="4" t="n">
        <f aca="false">H103*I103</f>
        <v>1044.56</v>
      </c>
    </row>
    <row r="104" customFormat="false" ht="15" hidden="false" customHeight="false" outlineLevel="0" collapsed="false">
      <c r="A104" s="2" t="n">
        <v>1103</v>
      </c>
      <c r="B104" s="3" t="s">
        <v>41</v>
      </c>
      <c r="C104" s="3" t="s">
        <v>27</v>
      </c>
      <c r="D104" s="3" t="s">
        <v>23</v>
      </c>
      <c r="E104" s="3" t="s">
        <v>16</v>
      </c>
      <c r="F104" s="3" t="s">
        <v>17</v>
      </c>
      <c r="G104" s="3" t="s">
        <v>15</v>
      </c>
      <c r="H104" s="3" t="n">
        <v>3</v>
      </c>
      <c r="I104" s="4" t="n">
        <v>119.93</v>
      </c>
      <c r="J104" s="4" t="n">
        <f aca="false">H104*I104</f>
        <v>359.79</v>
      </c>
    </row>
    <row r="105" customFormat="false" ht="15" hidden="false" customHeight="false" outlineLevel="0" collapsed="false">
      <c r="A105" s="2" t="n">
        <v>1104</v>
      </c>
      <c r="B105" s="3" t="s">
        <v>26</v>
      </c>
      <c r="C105" s="3" t="s">
        <v>20</v>
      </c>
      <c r="D105" s="3" t="s">
        <v>12</v>
      </c>
      <c r="E105" s="3" t="s">
        <v>44</v>
      </c>
      <c r="F105" s="3" t="s">
        <v>53</v>
      </c>
      <c r="G105" s="3" t="s">
        <v>38</v>
      </c>
      <c r="H105" s="3" t="n">
        <v>6</v>
      </c>
      <c r="I105" s="4" t="n">
        <v>21.93</v>
      </c>
      <c r="J105" s="4" t="n">
        <f aca="false">H105*I105</f>
        <v>131.58</v>
      </c>
    </row>
    <row r="106" customFormat="false" ht="15" hidden="false" customHeight="false" outlineLevel="0" collapsed="false">
      <c r="A106" s="2" t="n">
        <v>1105</v>
      </c>
      <c r="B106" s="3" t="s">
        <v>41</v>
      </c>
      <c r="C106" s="3" t="s">
        <v>20</v>
      </c>
      <c r="D106" s="3" t="s">
        <v>23</v>
      </c>
      <c r="E106" s="3" t="s">
        <v>44</v>
      </c>
      <c r="F106" s="3" t="s">
        <v>52</v>
      </c>
      <c r="G106" s="3" t="s">
        <v>15</v>
      </c>
      <c r="H106" s="3" t="n">
        <v>7</v>
      </c>
      <c r="I106" s="4" t="n">
        <v>17.24</v>
      </c>
      <c r="J106" s="4" t="n">
        <f aca="false">H106*I106</f>
        <v>120.68</v>
      </c>
    </row>
    <row r="107" customFormat="false" ht="15" hidden="false" customHeight="false" outlineLevel="0" collapsed="false">
      <c r="A107" s="2" t="n">
        <v>1106</v>
      </c>
      <c r="B107" s="3" t="s">
        <v>41</v>
      </c>
      <c r="C107" s="3" t="s">
        <v>20</v>
      </c>
      <c r="D107" s="3" t="s">
        <v>23</v>
      </c>
      <c r="E107" s="3" t="s">
        <v>24</v>
      </c>
      <c r="F107" s="3" t="s">
        <v>25</v>
      </c>
      <c r="G107" s="3" t="s">
        <v>21</v>
      </c>
      <c r="H107" s="3" t="n">
        <v>7</v>
      </c>
      <c r="I107" s="4" t="n">
        <v>28.04</v>
      </c>
      <c r="J107" s="4" t="n">
        <f aca="false">H107*I107</f>
        <v>196.28</v>
      </c>
    </row>
    <row r="108" customFormat="false" ht="15" hidden="false" customHeight="false" outlineLevel="0" collapsed="false">
      <c r="A108" s="2" t="n">
        <v>1107</v>
      </c>
      <c r="B108" s="3" t="s">
        <v>39</v>
      </c>
      <c r="C108" s="3" t="s">
        <v>27</v>
      </c>
      <c r="D108" s="3" t="s">
        <v>12</v>
      </c>
      <c r="E108" s="3" t="s">
        <v>13</v>
      </c>
      <c r="F108" s="3" t="s">
        <v>50</v>
      </c>
      <c r="G108" s="3" t="s">
        <v>18</v>
      </c>
      <c r="H108" s="3" t="n">
        <v>10</v>
      </c>
      <c r="I108" s="4" t="n">
        <v>126.1</v>
      </c>
      <c r="J108" s="4" t="n">
        <f aca="false">H108*I108</f>
        <v>1261</v>
      </c>
    </row>
    <row r="109" customFormat="false" ht="15" hidden="false" customHeight="false" outlineLevel="0" collapsed="false">
      <c r="A109" s="2" t="n">
        <v>1108</v>
      </c>
      <c r="B109" s="3" t="s">
        <v>26</v>
      </c>
      <c r="C109" s="3" t="s">
        <v>27</v>
      </c>
      <c r="D109" s="3" t="s">
        <v>12</v>
      </c>
      <c r="E109" s="3" t="s">
        <v>24</v>
      </c>
      <c r="F109" s="3" t="s">
        <v>34</v>
      </c>
      <c r="G109" s="3" t="s">
        <v>29</v>
      </c>
      <c r="H109" s="3" t="n">
        <v>8</v>
      </c>
      <c r="I109" s="4" t="n">
        <v>65.52</v>
      </c>
      <c r="J109" s="4" t="n">
        <f aca="false">H109*I109</f>
        <v>524.16</v>
      </c>
    </row>
    <row r="110" customFormat="false" ht="15" hidden="false" customHeight="false" outlineLevel="0" collapsed="false">
      <c r="A110" s="2" t="n">
        <v>1109</v>
      </c>
      <c r="B110" s="3" t="s">
        <v>41</v>
      </c>
      <c r="C110" s="3" t="s">
        <v>20</v>
      </c>
      <c r="D110" s="3" t="s">
        <v>23</v>
      </c>
      <c r="E110" s="3" t="s">
        <v>16</v>
      </c>
      <c r="F110" s="3" t="s">
        <v>36</v>
      </c>
      <c r="G110" s="3" t="s">
        <v>15</v>
      </c>
      <c r="H110" s="3" t="n">
        <v>5</v>
      </c>
      <c r="I110" s="4" t="n">
        <v>95.17</v>
      </c>
      <c r="J110" s="4" t="n">
        <f aca="false">H110*I110</f>
        <v>475.85</v>
      </c>
    </row>
    <row r="111" customFormat="false" ht="15" hidden="false" customHeight="false" outlineLevel="0" collapsed="false">
      <c r="A111" s="2" t="n">
        <v>1110</v>
      </c>
      <c r="B111" s="3" t="s">
        <v>26</v>
      </c>
      <c r="C111" s="3" t="s">
        <v>11</v>
      </c>
      <c r="D111" s="3" t="s">
        <v>23</v>
      </c>
      <c r="E111" s="3" t="s">
        <v>30</v>
      </c>
      <c r="F111" s="3" t="s">
        <v>37</v>
      </c>
      <c r="G111" s="3" t="s">
        <v>46</v>
      </c>
      <c r="H111" s="3" t="n">
        <v>2</v>
      </c>
      <c r="I111" s="4" t="n">
        <v>50.3</v>
      </c>
      <c r="J111" s="4" t="n">
        <f aca="false">H111*I111</f>
        <v>100.6</v>
      </c>
    </row>
    <row r="112" customFormat="false" ht="15" hidden="false" customHeight="false" outlineLevel="0" collapsed="false">
      <c r="A112" s="2" t="n">
        <v>1111</v>
      </c>
      <c r="B112" s="3" t="s">
        <v>39</v>
      </c>
      <c r="C112" s="3" t="s">
        <v>11</v>
      </c>
      <c r="D112" s="3" t="s">
        <v>23</v>
      </c>
      <c r="E112" s="3" t="s">
        <v>16</v>
      </c>
      <c r="F112" s="3" t="s">
        <v>43</v>
      </c>
      <c r="G112" s="3" t="s">
        <v>35</v>
      </c>
      <c r="H112" s="3" t="n">
        <v>8</v>
      </c>
      <c r="I112" s="4" t="n">
        <v>59.86</v>
      </c>
      <c r="J112" s="4" t="n">
        <f aca="false">H112*I112</f>
        <v>478.88</v>
      </c>
    </row>
    <row r="113" customFormat="false" ht="15" hidden="false" customHeight="false" outlineLevel="0" collapsed="false">
      <c r="A113" s="2" t="n">
        <v>1112</v>
      </c>
      <c r="B113" s="3" t="s">
        <v>26</v>
      </c>
      <c r="C113" s="3" t="s">
        <v>11</v>
      </c>
      <c r="D113" s="3" t="s">
        <v>12</v>
      </c>
      <c r="E113" s="3" t="s">
        <v>44</v>
      </c>
      <c r="F113" s="3" t="s">
        <v>51</v>
      </c>
      <c r="G113" s="3" t="s">
        <v>46</v>
      </c>
      <c r="H113" s="3" t="n">
        <v>9</v>
      </c>
      <c r="I113" s="4" t="n">
        <v>41.95</v>
      </c>
      <c r="J113" s="4" t="n">
        <f aca="false">H113*I113</f>
        <v>377.55</v>
      </c>
    </row>
    <row r="114" customFormat="false" ht="15" hidden="false" customHeight="false" outlineLevel="0" collapsed="false">
      <c r="A114" s="2" t="n">
        <v>1113</v>
      </c>
      <c r="B114" s="3" t="s">
        <v>19</v>
      </c>
      <c r="C114" s="3" t="s">
        <v>20</v>
      </c>
      <c r="D114" s="3" t="s">
        <v>23</v>
      </c>
      <c r="E114" s="3" t="s">
        <v>44</v>
      </c>
      <c r="F114" s="3" t="s">
        <v>53</v>
      </c>
      <c r="G114" s="3" t="s">
        <v>46</v>
      </c>
      <c r="H114" s="3" t="n">
        <v>9</v>
      </c>
      <c r="I114" s="4" t="n">
        <v>42.44</v>
      </c>
      <c r="J114" s="4" t="n">
        <f aca="false">H114*I114</f>
        <v>381.96</v>
      </c>
    </row>
    <row r="115" customFormat="false" ht="15" hidden="false" customHeight="false" outlineLevel="0" collapsed="false">
      <c r="A115" s="2" t="n">
        <v>1114</v>
      </c>
      <c r="B115" s="3" t="s">
        <v>41</v>
      </c>
      <c r="C115" s="3" t="s">
        <v>27</v>
      </c>
      <c r="D115" s="3" t="s">
        <v>23</v>
      </c>
      <c r="E115" s="3" t="s">
        <v>16</v>
      </c>
      <c r="F115" s="3" t="s">
        <v>17</v>
      </c>
      <c r="G115" s="3" t="s">
        <v>38</v>
      </c>
      <c r="H115" s="3" t="n">
        <v>8</v>
      </c>
      <c r="I115" s="4" t="n">
        <v>113.83</v>
      </c>
      <c r="J115" s="4" t="n">
        <f aca="false">H115*I115</f>
        <v>910.64</v>
      </c>
    </row>
    <row r="116" customFormat="false" ht="15" hidden="false" customHeight="false" outlineLevel="0" collapsed="false">
      <c r="A116" s="2" t="n">
        <v>1115</v>
      </c>
      <c r="B116" s="3" t="s">
        <v>10</v>
      </c>
      <c r="C116" s="3" t="s">
        <v>11</v>
      </c>
      <c r="D116" s="3" t="s">
        <v>23</v>
      </c>
      <c r="E116" s="3" t="s">
        <v>16</v>
      </c>
      <c r="F116" s="3" t="s">
        <v>17</v>
      </c>
      <c r="G116" s="3" t="s">
        <v>18</v>
      </c>
      <c r="H116" s="3" t="n">
        <v>6</v>
      </c>
      <c r="I116" s="4" t="n">
        <v>64.64</v>
      </c>
      <c r="J116" s="4" t="n">
        <f aca="false">H116*I116</f>
        <v>387.84</v>
      </c>
    </row>
    <row r="117" customFormat="false" ht="15" hidden="false" customHeight="false" outlineLevel="0" collapsed="false">
      <c r="A117" s="2" t="n">
        <v>1116</v>
      </c>
      <c r="B117" s="3" t="s">
        <v>26</v>
      </c>
      <c r="C117" s="3" t="s">
        <v>27</v>
      </c>
      <c r="D117" s="3" t="s">
        <v>23</v>
      </c>
      <c r="E117" s="3" t="s">
        <v>44</v>
      </c>
      <c r="F117" s="3" t="s">
        <v>45</v>
      </c>
      <c r="G117" s="3" t="s">
        <v>35</v>
      </c>
      <c r="H117" s="3" t="n">
        <v>8</v>
      </c>
      <c r="I117" s="4" t="n">
        <v>18.41</v>
      </c>
      <c r="J117" s="4" t="n">
        <f aca="false">H117*I117</f>
        <v>147.28</v>
      </c>
    </row>
    <row r="118" customFormat="false" ht="15" hidden="false" customHeight="false" outlineLevel="0" collapsed="false">
      <c r="A118" s="2" t="n">
        <v>1117</v>
      </c>
      <c r="B118" s="3" t="s">
        <v>19</v>
      </c>
      <c r="C118" s="3" t="s">
        <v>20</v>
      </c>
      <c r="D118" s="3" t="s">
        <v>23</v>
      </c>
      <c r="E118" s="3" t="s">
        <v>44</v>
      </c>
      <c r="F118" s="3" t="s">
        <v>45</v>
      </c>
      <c r="G118" s="3" t="s">
        <v>15</v>
      </c>
      <c r="H118" s="3" t="n">
        <v>10</v>
      </c>
      <c r="I118" s="4" t="n">
        <v>10.92</v>
      </c>
      <c r="J118" s="4" t="n">
        <f aca="false">H118*I118</f>
        <v>109.2</v>
      </c>
    </row>
    <row r="119" customFormat="false" ht="15" hidden="false" customHeight="false" outlineLevel="0" collapsed="false">
      <c r="A119" s="2" t="n">
        <v>1118</v>
      </c>
      <c r="B119" s="3" t="s">
        <v>39</v>
      </c>
      <c r="C119" s="3" t="s">
        <v>11</v>
      </c>
      <c r="D119" s="3" t="s">
        <v>12</v>
      </c>
      <c r="E119" s="3" t="s">
        <v>16</v>
      </c>
      <c r="F119" s="3" t="s">
        <v>17</v>
      </c>
      <c r="G119" s="3" t="s">
        <v>32</v>
      </c>
      <c r="H119" s="3" t="n">
        <v>3</v>
      </c>
      <c r="I119" s="4" t="n">
        <v>11.84</v>
      </c>
      <c r="J119" s="4" t="n">
        <f aca="false">H119*I119</f>
        <v>35.52</v>
      </c>
    </row>
    <row r="120" customFormat="false" ht="15" hidden="false" customHeight="false" outlineLevel="0" collapsed="false">
      <c r="A120" s="2" t="n">
        <v>1119</v>
      </c>
      <c r="B120" s="3" t="s">
        <v>26</v>
      </c>
      <c r="C120" s="3" t="s">
        <v>20</v>
      </c>
      <c r="D120" s="3" t="s">
        <v>23</v>
      </c>
      <c r="E120" s="3" t="s">
        <v>24</v>
      </c>
      <c r="F120" s="3" t="s">
        <v>25</v>
      </c>
      <c r="G120" s="3" t="s">
        <v>21</v>
      </c>
      <c r="H120" s="3" t="n">
        <v>7</v>
      </c>
      <c r="I120" s="4" t="n">
        <v>46.64</v>
      </c>
      <c r="J120" s="4" t="n">
        <f aca="false">H120*I120</f>
        <v>326.48</v>
      </c>
    </row>
    <row r="121" customFormat="false" ht="15" hidden="false" customHeight="false" outlineLevel="0" collapsed="false">
      <c r="A121" s="2" t="n">
        <v>1120</v>
      </c>
      <c r="B121" s="3" t="s">
        <v>41</v>
      </c>
      <c r="C121" s="3" t="s">
        <v>20</v>
      </c>
      <c r="D121" s="3" t="s">
        <v>12</v>
      </c>
      <c r="E121" s="3" t="s">
        <v>24</v>
      </c>
      <c r="F121" s="3" t="s">
        <v>48</v>
      </c>
      <c r="G121" s="3" t="s">
        <v>46</v>
      </c>
      <c r="H121" s="3" t="n">
        <v>1</v>
      </c>
      <c r="I121" s="4" t="n">
        <v>62.09</v>
      </c>
      <c r="J121" s="4" t="n">
        <f aca="false">H121*I121</f>
        <v>62.09</v>
      </c>
    </row>
    <row r="122" customFormat="false" ht="15" hidden="false" customHeight="false" outlineLevel="0" collapsed="false">
      <c r="A122" s="2" t="n">
        <v>1121</v>
      </c>
      <c r="B122" s="3" t="s">
        <v>26</v>
      </c>
      <c r="C122" s="3" t="s">
        <v>20</v>
      </c>
      <c r="D122" s="3" t="s">
        <v>23</v>
      </c>
      <c r="E122" s="3" t="s">
        <v>30</v>
      </c>
      <c r="F122" s="3" t="s">
        <v>37</v>
      </c>
      <c r="G122" s="3" t="s">
        <v>35</v>
      </c>
      <c r="H122" s="3" t="n">
        <v>2</v>
      </c>
      <c r="I122" s="4" t="n">
        <v>48.02</v>
      </c>
      <c r="J122" s="4" t="n">
        <f aca="false">H122*I122</f>
        <v>96.04</v>
      </c>
    </row>
    <row r="123" customFormat="false" ht="15" hidden="false" customHeight="false" outlineLevel="0" collapsed="false">
      <c r="A123" s="2" t="n">
        <v>1122</v>
      </c>
      <c r="B123" s="3" t="s">
        <v>19</v>
      </c>
      <c r="C123" s="3" t="s">
        <v>33</v>
      </c>
      <c r="D123" s="3" t="s">
        <v>23</v>
      </c>
      <c r="E123" s="3" t="s">
        <v>24</v>
      </c>
      <c r="F123" s="3" t="s">
        <v>49</v>
      </c>
      <c r="G123" s="3" t="s">
        <v>21</v>
      </c>
      <c r="H123" s="3" t="n">
        <v>1</v>
      </c>
      <c r="I123" s="4" t="n">
        <v>10.85</v>
      </c>
      <c r="J123" s="4" t="n">
        <f aca="false">H123*I123</f>
        <v>10.85</v>
      </c>
    </row>
    <row r="124" customFormat="false" ht="15" hidden="false" customHeight="false" outlineLevel="0" collapsed="false">
      <c r="A124" s="2" t="n">
        <v>1123</v>
      </c>
      <c r="B124" s="3" t="s">
        <v>26</v>
      </c>
      <c r="C124" s="3" t="s">
        <v>11</v>
      </c>
      <c r="D124" s="3" t="s">
        <v>12</v>
      </c>
      <c r="E124" s="3" t="s">
        <v>30</v>
      </c>
      <c r="F124" s="3" t="s">
        <v>54</v>
      </c>
      <c r="G124" s="3" t="s">
        <v>35</v>
      </c>
      <c r="H124" s="3" t="n">
        <v>10</v>
      </c>
      <c r="I124" s="4" t="n">
        <v>56.09</v>
      </c>
      <c r="J124" s="4" t="n">
        <f aca="false">H124*I124</f>
        <v>560.9</v>
      </c>
    </row>
    <row r="125" customFormat="false" ht="15" hidden="false" customHeight="false" outlineLevel="0" collapsed="false">
      <c r="A125" s="2" t="n">
        <v>1124</v>
      </c>
      <c r="B125" s="3" t="s">
        <v>39</v>
      </c>
      <c r="C125" s="3" t="s">
        <v>11</v>
      </c>
      <c r="D125" s="3" t="s">
        <v>12</v>
      </c>
      <c r="E125" s="3" t="s">
        <v>13</v>
      </c>
      <c r="F125" s="3" t="s">
        <v>47</v>
      </c>
      <c r="G125" s="3" t="s">
        <v>32</v>
      </c>
      <c r="H125" s="3" t="n">
        <v>4</v>
      </c>
      <c r="I125" s="4" t="n">
        <v>145.84</v>
      </c>
      <c r="J125" s="4" t="n">
        <f aca="false">H125*I125</f>
        <v>583.36</v>
      </c>
    </row>
    <row r="126" customFormat="false" ht="15" hidden="false" customHeight="false" outlineLevel="0" collapsed="false">
      <c r="A126" s="2" t="n">
        <v>1125</v>
      </c>
      <c r="B126" s="3" t="s">
        <v>39</v>
      </c>
      <c r="C126" s="3" t="s">
        <v>33</v>
      </c>
      <c r="D126" s="3" t="s">
        <v>12</v>
      </c>
      <c r="E126" s="3" t="s">
        <v>24</v>
      </c>
      <c r="F126" s="3" t="s">
        <v>48</v>
      </c>
      <c r="G126" s="3" t="s">
        <v>15</v>
      </c>
      <c r="H126" s="3" t="n">
        <v>1</v>
      </c>
      <c r="I126" s="4" t="n">
        <v>23.83</v>
      </c>
      <c r="J126" s="4" t="n">
        <f aca="false">H126*I126</f>
        <v>23.83</v>
      </c>
    </row>
    <row r="127" customFormat="false" ht="15" hidden="false" customHeight="false" outlineLevel="0" collapsed="false">
      <c r="A127" s="2" t="n">
        <v>1126</v>
      </c>
      <c r="B127" s="3" t="s">
        <v>26</v>
      </c>
      <c r="C127" s="3" t="s">
        <v>27</v>
      </c>
      <c r="D127" s="3" t="s">
        <v>23</v>
      </c>
      <c r="E127" s="3" t="s">
        <v>44</v>
      </c>
      <c r="F127" s="3" t="s">
        <v>53</v>
      </c>
      <c r="G127" s="3" t="s">
        <v>32</v>
      </c>
      <c r="H127" s="3" t="n">
        <v>5</v>
      </c>
      <c r="I127" s="4" t="n">
        <v>44.52</v>
      </c>
      <c r="J127" s="4" t="n">
        <f aca="false">H127*I127</f>
        <v>222.6</v>
      </c>
    </row>
    <row r="128" customFormat="false" ht="15" hidden="false" customHeight="false" outlineLevel="0" collapsed="false">
      <c r="A128" s="2" t="n">
        <v>1127</v>
      </c>
      <c r="B128" s="3" t="s">
        <v>22</v>
      </c>
      <c r="C128" s="3" t="s">
        <v>11</v>
      </c>
      <c r="D128" s="3" t="s">
        <v>23</v>
      </c>
      <c r="E128" s="3" t="s">
        <v>24</v>
      </c>
      <c r="F128" s="3" t="s">
        <v>34</v>
      </c>
      <c r="G128" s="3" t="s">
        <v>38</v>
      </c>
      <c r="H128" s="3" t="n">
        <v>8</v>
      </c>
      <c r="I128" s="4" t="n">
        <v>69.96</v>
      </c>
      <c r="J128" s="4" t="n">
        <f aca="false">H128*I128</f>
        <v>559.68</v>
      </c>
    </row>
    <row r="129" customFormat="false" ht="15" hidden="false" customHeight="false" outlineLevel="0" collapsed="false">
      <c r="A129" s="2" t="n">
        <v>1128</v>
      </c>
      <c r="B129" s="3" t="s">
        <v>22</v>
      </c>
      <c r="C129" s="3" t="s">
        <v>27</v>
      </c>
      <c r="D129" s="3" t="s">
        <v>23</v>
      </c>
      <c r="E129" s="3" t="s">
        <v>16</v>
      </c>
      <c r="F129" s="3" t="s">
        <v>43</v>
      </c>
      <c r="G129" s="3" t="s">
        <v>29</v>
      </c>
      <c r="H129" s="3" t="n">
        <v>5</v>
      </c>
      <c r="I129" s="4" t="n">
        <v>129.12</v>
      </c>
      <c r="J129" s="4" t="n">
        <f aca="false">H129*I129</f>
        <v>645.6</v>
      </c>
    </row>
    <row r="130" customFormat="false" ht="15" hidden="false" customHeight="false" outlineLevel="0" collapsed="false">
      <c r="A130" s="2" t="n">
        <v>1129</v>
      </c>
      <c r="B130" s="3" t="s">
        <v>39</v>
      </c>
      <c r="C130" s="3" t="s">
        <v>33</v>
      </c>
      <c r="D130" s="3" t="s">
        <v>12</v>
      </c>
      <c r="E130" s="3" t="s">
        <v>16</v>
      </c>
      <c r="F130" s="3" t="s">
        <v>42</v>
      </c>
      <c r="G130" s="3" t="s">
        <v>38</v>
      </c>
      <c r="H130" s="3" t="n">
        <v>12</v>
      </c>
      <c r="I130" s="4" t="n">
        <v>119.27</v>
      </c>
      <c r="J130" s="4" t="n">
        <f aca="false">H130*I130</f>
        <v>1431.24</v>
      </c>
    </row>
    <row r="131" customFormat="false" ht="15" hidden="false" customHeight="false" outlineLevel="0" collapsed="false">
      <c r="A131" s="2" t="n">
        <v>1130</v>
      </c>
      <c r="B131" s="3" t="s">
        <v>26</v>
      </c>
      <c r="C131" s="3" t="s">
        <v>11</v>
      </c>
      <c r="D131" s="3" t="s">
        <v>12</v>
      </c>
      <c r="E131" s="3" t="s">
        <v>30</v>
      </c>
      <c r="F131" s="3" t="s">
        <v>54</v>
      </c>
      <c r="G131" s="3" t="s">
        <v>29</v>
      </c>
      <c r="H131" s="3" t="n">
        <v>11</v>
      </c>
      <c r="I131" s="4" t="n">
        <v>63.53</v>
      </c>
      <c r="J131" s="4" t="n">
        <f aca="false">H131*I131</f>
        <v>698.83</v>
      </c>
    </row>
    <row r="132" customFormat="false" ht="15" hidden="false" customHeight="false" outlineLevel="0" collapsed="false">
      <c r="A132" s="2" t="n">
        <v>1131</v>
      </c>
      <c r="B132" s="3" t="s">
        <v>26</v>
      </c>
      <c r="C132" s="3" t="s">
        <v>11</v>
      </c>
      <c r="D132" s="3" t="s">
        <v>12</v>
      </c>
      <c r="E132" s="3" t="s">
        <v>24</v>
      </c>
      <c r="F132" s="3" t="s">
        <v>48</v>
      </c>
      <c r="G132" s="3" t="s">
        <v>46</v>
      </c>
      <c r="H132" s="3" t="n">
        <v>6</v>
      </c>
      <c r="I132" s="4" t="n">
        <v>10.07</v>
      </c>
      <c r="J132" s="4" t="n">
        <f aca="false">H132*I132</f>
        <v>60.42</v>
      </c>
    </row>
    <row r="133" customFormat="false" ht="15" hidden="false" customHeight="false" outlineLevel="0" collapsed="false">
      <c r="A133" s="2" t="n">
        <v>1132</v>
      </c>
      <c r="B133" s="3" t="s">
        <v>41</v>
      </c>
      <c r="C133" s="3" t="s">
        <v>33</v>
      </c>
      <c r="D133" s="3" t="s">
        <v>23</v>
      </c>
      <c r="E133" s="3" t="s">
        <v>24</v>
      </c>
      <c r="F133" s="3" t="s">
        <v>48</v>
      </c>
      <c r="G133" s="3" t="s">
        <v>35</v>
      </c>
      <c r="H133" s="3" t="n">
        <v>3</v>
      </c>
      <c r="I133" s="4" t="n">
        <v>18.89</v>
      </c>
      <c r="J133" s="4" t="n">
        <f aca="false">H133*I133</f>
        <v>56.67</v>
      </c>
    </row>
    <row r="134" customFormat="false" ht="15" hidden="false" customHeight="false" outlineLevel="0" collapsed="false">
      <c r="A134" s="2" t="n">
        <v>1133</v>
      </c>
      <c r="B134" s="3" t="s">
        <v>26</v>
      </c>
      <c r="C134" s="3" t="s">
        <v>33</v>
      </c>
      <c r="D134" s="3" t="s">
        <v>12</v>
      </c>
      <c r="E134" s="3" t="s">
        <v>24</v>
      </c>
      <c r="F134" s="3" t="s">
        <v>48</v>
      </c>
      <c r="G134" s="3" t="s">
        <v>32</v>
      </c>
      <c r="H134" s="3" t="n">
        <v>5</v>
      </c>
      <c r="I134" s="4" t="n">
        <v>67.98</v>
      </c>
      <c r="J134" s="4" t="n">
        <f aca="false">H134*I134</f>
        <v>339.9</v>
      </c>
    </row>
    <row r="135" customFormat="false" ht="15" hidden="false" customHeight="false" outlineLevel="0" collapsed="false">
      <c r="A135" s="2" t="n">
        <v>1134</v>
      </c>
      <c r="B135" s="3" t="s">
        <v>26</v>
      </c>
      <c r="C135" s="3" t="s">
        <v>27</v>
      </c>
      <c r="D135" s="3" t="s">
        <v>23</v>
      </c>
      <c r="E135" s="3" t="s">
        <v>13</v>
      </c>
      <c r="F135" s="3" t="s">
        <v>50</v>
      </c>
      <c r="G135" s="3" t="s">
        <v>15</v>
      </c>
      <c r="H135" s="3" t="n">
        <v>4</v>
      </c>
      <c r="I135" s="4" t="n">
        <v>172.06</v>
      </c>
      <c r="J135" s="4" t="n">
        <f aca="false">H135*I135</f>
        <v>688.24</v>
      </c>
    </row>
    <row r="136" customFormat="false" ht="15" hidden="false" customHeight="false" outlineLevel="0" collapsed="false">
      <c r="A136" s="2" t="n">
        <v>1135</v>
      </c>
      <c r="B136" s="3" t="s">
        <v>39</v>
      </c>
      <c r="C136" s="3" t="s">
        <v>33</v>
      </c>
      <c r="D136" s="3" t="s">
        <v>23</v>
      </c>
      <c r="E136" s="3" t="s">
        <v>44</v>
      </c>
      <c r="F136" s="3" t="s">
        <v>45</v>
      </c>
      <c r="G136" s="3" t="s">
        <v>21</v>
      </c>
      <c r="H136" s="3" t="n">
        <v>2</v>
      </c>
      <c r="I136" s="4" t="n">
        <v>16.31</v>
      </c>
      <c r="J136" s="4" t="n">
        <f aca="false">H136*I136</f>
        <v>32.62</v>
      </c>
    </row>
    <row r="137" customFormat="false" ht="15" hidden="false" customHeight="false" outlineLevel="0" collapsed="false">
      <c r="A137" s="2" t="n">
        <v>1136</v>
      </c>
      <c r="B137" s="3" t="s">
        <v>22</v>
      </c>
      <c r="C137" s="3" t="s">
        <v>33</v>
      </c>
      <c r="D137" s="3" t="s">
        <v>12</v>
      </c>
      <c r="E137" s="3" t="s">
        <v>24</v>
      </c>
      <c r="F137" s="3" t="s">
        <v>49</v>
      </c>
      <c r="G137" s="3" t="s">
        <v>15</v>
      </c>
      <c r="H137" s="3" t="n">
        <v>8</v>
      </c>
      <c r="I137" s="4" t="n">
        <v>49.84</v>
      </c>
      <c r="J137" s="4" t="n">
        <f aca="false">H137*I137</f>
        <v>398.72</v>
      </c>
    </row>
    <row r="138" customFormat="false" ht="15" hidden="false" customHeight="false" outlineLevel="0" collapsed="false">
      <c r="A138" s="2" t="n">
        <v>1137</v>
      </c>
      <c r="B138" s="3" t="s">
        <v>10</v>
      </c>
      <c r="C138" s="3" t="s">
        <v>20</v>
      </c>
      <c r="D138" s="3" t="s">
        <v>12</v>
      </c>
      <c r="E138" s="3" t="s">
        <v>44</v>
      </c>
      <c r="F138" s="3" t="s">
        <v>53</v>
      </c>
      <c r="G138" s="3" t="s">
        <v>46</v>
      </c>
      <c r="H138" s="3" t="n">
        <v>2</v>
      </c>
      <c r="I138" s="4" t="n">
        <v>31.32</v>
      </c>
      <c r="J138" s="4" t="n">
        <f aca="false">H138*I138</f>
        <v>62.64</v>
      </c>
    </row>
    <row r="139" customFormat="false" ht="15" hidden="false" customHeight="false" outlineLevel="0" collapsed="false">
      <c r="A139" s="2" t="n">
        <v>1138</v>
      </c>
      <c r="B139" s="3" t="s">
        <v>10</v>
      </c>
      <c r="C139" s="3" t="s">
        <v>27</v>
      </c>
      <c r="D139" s="3" t="s">
        <v>23</v>
      </c>
      <c r="E139" s="3" t="s">
        <v>44</v>
      </c>
      <c r="F139" s="3" t="s">
        <v>45</v>
      </c>
      <c r="G139" s="3" t="s">
        <v>38</v>
      </c>
      <c r="H139" s="3" t="n">
        <v>9</v>
      </c>
      <c r="I139" s="4" t="n">
        <v>9.79</v>
      </c>
      <c r="J139" s="4" t="n">
        <f aca="false">H139*I139</f>
        <v>88.11</v>
      </c>
    </row>
    <row r="140" customFormat="false" ht="15" hidden="false" customHeight="false" outlineLevel="0" collapsed="false">
      <c r="A140" s="2" t="n">
        <v>1139</v>
      </c>
      <c r="B140" s="3" t="s">
        <v>10</v>
      </c>
      <c r="C140" s="3" t="s">
        <v>27</v>
      </c>
      <c r="D140" s="3" t="s">
        <v>12</v>
      </c>
      <c r="E140" s="3" t="s">
        <v>16</v>
      </c>
      <c r="F140" s="3" t="s">
        <v>17</v>
      </c>
      <c r="G140" s="3" t="s">
        <v>32</v>
      </c>
      <c r="H140" s="3" t="n">
        <v>12</v>
      </c>
      <c r="I140" s="4" t="n">
        <v>80.48</v>
      </c>
      <c r="J140" s="4" t="n">
        <f aca="false">H140*I140</f>
        <v>965.76</v>
      </c>
    </row>
    <row r="141" customFormat="false" ht="15" hidden="false" customHeight="false" outlineLevel="0" collapsed="false">
      <c r="A141" s="2" t="n">
        <v>1140</v>
      </c>
      <c r="B141" s="3" t="s">
        <v>22</v>
      </c>
      <c r="C141" s="3" t="s">
        <v>33</v>
      </c>
      <c r="D141" s="3" t="s">
        <v>12</v>
      </c>
      <c r="E141" s="3" t="s">
        <v>16</v>
      </c>
      <c r="F141" s="3" t="s">
        <v>17</v>
      </c>
      <c r="G141" s="3" t="s">
        <v>32</v>
      </c>
      <c r="H141" s="3" t="n">
        <v>5</v>
      </c>
      <c r="I141" s="4" t="n">
        <v>122.69</v>
      </c>
      <c r="J141" s="4" t="n">
        <f aca="false">H141*I141</f>
        <v>613.45</v>
      </c>
    </row>
    <row r="142" customFormat="false" ht="15" hidden="false" customHeight="false" outlineLevel="0" collapsed="false">
      <c r="A142" s="2" t="n">
        <v>1141</v>
      </c>
      <c r="B142" s="3" t="s">
        <v>26</v>
      </c>
      <c r="C142" s="3" t="s">
        <v>33</v>
      </c>
      <c r="D142" s="3" t="s">
        <v>23</v>
      </c>
      <c r="E142" s="3" t="s">
        <v>44</v>
      </c>
      <c r="F142" s="3" t="s">
        <v>51</v>
      </c>
      <c r="G142" s="3" t="s">
        <v>29</v>
      </c>
      <c r="H142" s="3" t="n">
        <v>2</v>
      </c>
      <c r="I142" s="4" t="n">
        <v>39.36</v>
      </c>
      <c r="J142" s="4" t="n">
        <f aca="false">H142*I142</f>
        <v>78.72</v>
      </c>
    </row>
    <row r="143" customFormat="false" ht="15" hidden="false" customHeight="false" outlineLevel="0" collapsed="false">
      <c r="A143" s="2" t="n">
        <v>1142</v>
      </c>
      <c r="B143" s="3" t="s">
        <v>39</v>
      </c>
      <c r="C143" s="3" t="s">
        <v>20</v>
      </c>
      <c r="D143" s="3" t="s">
        <v>12</v>
      </c>
      <c r="E143" s="3" t="s">
        <v>44</v>
      </c>
      <c r="F143" s="3" t="s">
        <v>53</v>
      </c>
      <c r="G143" s="3" t="s">
        <v>29</v>
      </c>
      <c r="H143" s="3" t="n">
        <v>2</v>
      </c>
      <c r="I143" s="4" t="n">
        <v>13.4</v>
      </c>
      <c r="J143" s="4" t="n">
        <f aca="false">H143*I143</f>
        <v>26.8</v>
      </c>
    </row>
    <row r="144" customFormat="false" ht="15" hidden="false" customHeight="false" outlineLevel="0" collapsed="false">
      <c r="A144" s="2" t="n">
        <v>1143</v>
      </c>
      <c r="B144" s="3" t="s">
        <v>41</v>
      </c>
      <c r="C144" s="3" t="s">
        <v>11</v>
      </c>
      <c r="D144" s="3" t="s">
        <v>12</v>
      </c>
      <c r="E144" s="3" t="s">
        <v>13</v>
      </c>
      <c r="F144" s="3" t="s">
        <v>28</v>
      </c>
      <c r="G144" s="3" t="s">
        <v>18</v>
      </c>
      <c r="H144" s="3" t="n">
        <v>3</v>
      </c>
      <c r="I144" s="4" t="n">
        <v>72.5</v>
      </c>
      <c r="J144" s="4" t="n">
        <f aca="false">H144*I144</f>
        <v>217.5</v>
      </c>
    </row>
    <row r="145" customFormat="false" ht="15" hidden="false" customHeight="false" outlineLevel="0" collapsed="false">
      <c r="A145" s="2" t="n">
        <v>1144</v>
      </c>
      <c r="B145" s="3" t="s">
        <v>19</v>
      </c>
      <c r="C145" s="3" t="s">
        <v>11</v>
      </c>
      <c r="D145" s="3" t="s">
        <v>12</v>
      </c>
      <c r="E145" s="3" t="s">
        <v>16</v>
      </c>
      <c r="F145" s="3" t="s">
        <v>36</v>
      </c>
      <c r="G145" s="3" t="s">
        <v>46</v>
      </c>
      <c r="H145" s="3" t="n">
        <v>4</v>
      </c>
      <c r="I145" s="4" t="n">
        <v>107.57</v>
      </c>
      <c r="J145" s="4" t="n">
        <f aca="false">H145*I145</f>
        <v>430.28</v>
      </c>
    </row>
    <row r="146" customFormat="false" ht="15" hidden="false" customHeight="false" outlineLevel="0" collapsed="false">
      <c r="A146" s="2" t="n">
        <v>1145</v>
      </c>
      <c r="B146" s="3" t="s">
        <v>22</v>
      </c>
      <c r="C146" s="3" t="s">
        <v>20</v>
      </c>
      <c r="D146" s="3" t="s">
        <v>12</v>
      </c>
      <c r="E146" s="3" t="s">
        <v>30</v>
      </c>
      <c r="F146" s="3" t="s">
        <v>54</v>
      </c>
      <c r="G146" s="3" t="s">
        <v>29</v>
      </c>
      <c r="H146" s="3" t="n">
        <v>3</v>
      </c>
      <c r="I146" s="4" t="n">
        <v>56.84</v>
      </c>
      <c r="J146" s="4" t="n">
        <f aca="false">H146*I146</f>
        <v>170.52</v>
      </c>
    </row>
    <row r="147" customFormat="false" ht="15" hidden="false" customHeight="false" outlineLevel="0" collapsed="false">
      <c r="A147" s="2" t="n">
        <v>1146</v>
      </c>
      <c r="B147" s="3" t="s">
        <v>10</v>
      </c>
      <c r="C147" s="3" t="s">
        <v>33</v>
      </c>
      <c r="D147" s="3" t="s">
        <v>12</v>
      </c>
      <c r="E147" s="3" t="s">
        <v>24</v>
      </c>
      <c r="F147" s="3" t="s">
        <v>34</v>
      </c>
      <c r="G147" s="3" t="s">
        <v>35</v>
      </c>
      <c r="H147" s="3" t="n">
        <v>1</v>
      </c>
      <c r="I147" s="4" t="n">
        <v>44.51</v>
      </c>
      <c r="J147" s="4" t="n">
        <f aca="false">H147*I147</f>
        <v>44.51</v>
      </c>
    </row>
    <row r="148" customFormat="false" ht="15" hidden="false" customHeight="false" outlineLevel="0" collapsed="false">
      <c r="A148" s="2" t="n">
        <v>1147</v>
      </c>
      <c r="B148" s="3" t="s">
        <v>39</v>
      </c>
      <c r="C148" s="3" t="s">
        <v>33</v>
      </c>
      <c r="D148" s="3" t="s">
        <v>12</v>
      </c>
      <c r="E148" s="3" t="s">
        <v>44</v>
      </c>
      <c r="F148" s="3" t="s">
        <v>45</v>
      </c>
      <c r="G148" s="3" t="s">
        <v>32</v>
      </c>
      <c r="H148" s="3" t="n">
        <v>8</v>
      </c>
      <c r="I148" s="4" t="n">
        <v>35.08</v>
      </c>
      <c r="J148" s="4" t="n">
        <f aca="false">H148*I148</f>
        <v>280.64</v>
      </c>
    </row>
    <row r="149" customFormat="false" ht="15" hidden="false" customHeight="false" outlineLevel="0" collapsed="false">
      <c r="A149" s="2" t="n">
        <v>1148</v>
      </c>
      <c r="B149" s="3" t="s">
        <v>26</v>
      </c>
      <c r="C149" s="3" t="s">
        <v>33</v>
      </c>
      <c r="D149" s="3" t="s">
        <v>23</v>
      </c>
      <c r="E149" s="3" t="s">
        <v>16</v>
      </c>
      <c r="F149" s="3" t="s">
        <v>36</v>
      </c>
      <c r="G149" s="3" t="s">
        <v>29</v>
      </c>
      <c r="H149" s="3" t="n">
        <v>1</v>
      </c>
      <c r="I149" s="4" t="n">
        <v>123.45</v>
      </c>
      <c r="J149" s="4" t="n">
        <f aca="false">H149*I149</f>
        <v>123.45</v>
      </c>
    </row>
    <row r="150" customFormat="false" ht="15" hidden="false" customHeight="false" outlineLevel="0" collapsed="false">
      <c r="A150" s="2" t="n">
        <v>1149</v>
      </c>
      <c r="B150" s="3" t="s">
        <v>26</v>
      </c>
      <c r="C150" s="3" t="s">
        <v>20</v>
      </c>
      <c r="D150" s="3" t="s">
        <v>23</v>
      </c>
      <c r="E150" s="3" t="s">
        <v>13</v>
      </c>
      <c r="F150" s="3" t="s">
        <v>47</v>
      </c>
      <c r="G150" s="3" t="s">
        <v>32</v>
      </c>
      <c r="H150" s="3" t="n">
        <v>7</v>
      </c>
      <c r="I150" s="4" t="n">
        <v>190.22</v>
      </c>
      <c r="J150" s="4" t="n">
        <f aca="false">H150*I150</f>
        <v>1331.54</v>
      </c>
    </row>
    <row r="151" customFormat="false" ht="15" hidden="false" customHeight="false" outlineLevel="0" collapsed="false">
      <c r="A151" s="2" t="n">
        <v>1150</v>
      </c>
      <c r="B151" s="3" t="s">
        <v>22</v>
      </c>
      <c r="C151" s="3" t="s">
        <v>11</v>
      </c>
      <c r="D151" s="3" t="s">
        <v>23</v>
      </c>
      <c r="E151" s="3" t="s">
        <v>13</v>
      </c>
      <c r="F151" s="3" t="s">
        <v>14</v>
      </c>
      <c r="G151" s="3" t="s">
        <v>38</v>
      </c>
      <c r="H151" s="3" t="n">
        <v>3</v>
      </c>
      <c r="I151" s="4" t="n">
        <v>87.81</v>
      </c>
      <c r="J151" s="4" t="n">
        <f aca="false">H151*I151</f>
        <v>263.43</v>
      </c>
    </row>
    <row r="152" customFormat="false" ht="15" hidden="false" customHeight="false" outlineLevel="0" collapsed="false">
      <c r="A152" s="2" t="n">
        <v>1151</v>
      </c>
      <c r="B152" s="3" t="s">
        <v>39</v>
      </c>
      <c r="C152" s="3" t="s">
        <v>20</v>
      </c>
      <c r="D152" s="3" t="s">
        <v>12</v>
      </c>
      <c r="E152" s="3" t="s">
        <v>44</v>
      </c>
      <c r="F152" s="3" t="s">
        <v>53</v>
      </c>
      <c r="G152" s="3" t="s">
        <v>18</v>
      </c>
      <c r="H152" s="3" t="n">
        <v>10</v>
      </c>
      <c r="I152" s="4" t="n">
        <v>23.69</v>
      </c>
      <c r="J152" s="4" t="n">
        <f aca="false">H152*I152</f>
        <v>236.9</v>
      </c>
    </row>
    <row r="153" customFormat="false" ht="15" hidden="false" customHeight="false" outlineLevel="0" collapsed="false">
      <c r="A153" s="2" t="n">
        <v>1152</v>
      </c>
      <c r="B153" s="3" t="s">
        <v>19</v>
      </c>
      <c r="C153" s="3" t="s">
        <v>27</v>
      </c>
      <c r="D153" s="3" t="s">
        <v>23</v>
      </c>
      <c r="E153" s="3" t="s">
        <v>44</v>
      </c>
      <c r="F153" s="3" t="s">
        <v>52</v>
      </c>
      <c r="G153" s="3" t="s">
        <v>21</v>
      </c>
      <c r="H153" s="3" t="n">
        <v>7</v>
      </c>
      <c r="I153" s="4" t="n">
        <v>40.64</v>
      </c>
      <c r="J153" s="4" t="n">
        <f aca="false">H153*I153</f>
        <v>284.48</v>
      </c>
    </row>
    <row r="154" customFormat="false" ht="15" hidden="false" customHeight="false" outlineLevel="0" collapsed="false">
      <c r="A154" s="2" t="n">
        <v>1153</v>
      </c>
      <c r="B154" s="3" t="s">
        <v>19</v>
      </c>
      <c r="C154" s="3" t="s">
        <v>33</v>
      </c>
      <c r="D154" s="3" t="s">
        <v>12</v>
      </c>
      <c r="E154" s="3" t="s">
        <v>13</v>
      </c>
      <c r="F154" s="3" t="s">
        <v>28</v>
      </c>
      <c r="G154" s="3" t="s">
        <v>32</v>
      </c>
      <c r="H154" s="3" t="n">
        <v>11</v>
      </c>
      <c r="I154" s="4" t="n">
        <v>108.22</v>
      </c>
      <c r="J154" s="4" t="n">
        <f aca="false">H154*I154</f>
        <v>1190.42</v>
      </c>
    </row>
    <row r="155" customFormat="false" ht="15" hidden="false" customHeight="false" outlineLevel="0" collapsed="false">
      <c r="A155" s="2" t="n">
        <v>1154</v>
      </c>
      <c r="B155" s="3" t="s">
        <v>39</v>
      </c>
      <c r="C155" s="3" t="s">
        <v>20</v>
      </c>
      <c r="D155" s="3" t="s">
        <v>23</v>
      </c>
      <c r="E155" s="3" t="s">
        <v>13</v>
      </c>
      <c r="F155" s="3" t="s">
        <v>14</v>
      </c>
      <c r="G155" s="3" t="s">
        <v>35</v>
      </c>
      <c r="H155" s="3" t="n">
        <v>2</v>
      </c>
      <c r="I155" s="4" t="n">
        <v>187.2</v>
      </c>
      <c r="J155" s="4" t="n">
        <f aca="false">H155*I155</f>
        <v>374.4</v>
      </c>
    </row>
    <row r="156" customFormat="false" ht="15" hidden="false" customHeight="false" outlineLevel="0" collapsed="false">
      <c r="A156" s="2" t="n">
        <v>1155</v>
      </c>
      <c r="B156" s="3" t="s">
        <v>41</v>
      </c>
      <c r="C156" s="3" t="s">
        <v>33</v>
      </c>
      <c r="D156" s="3" t="s">
        <v>12</v>
      </c>
      <c r="E156" s="3" t="s">
        <v>16</v>
      </c>
      <c r="F156" s="3" t="s">
        <v>42</v>
      </c>
      <c r="G156" s="3" t="s">
        <v>21</v>
      </c>
      <c r="H156" s="3" t="n">
        <v>9</v>
      </c>
      <c r="I156" s="4" t="n">
        <v>80.38</v>
      </c>
      <c r="J156" s="4" t="n">
        <f aca="false">H156*I156</f>
        <v>723.42</v>
      </c>
    </row>
    <row r="157" customFormat="false" ht="15" hidden="false" customHeight="false" outlineLevel="0" collapsed="false">
      <c r="A157" s="2" t="n">
        <v>1156</v>
      </c>
      <c r="B157" s="3" t="s">
        <v>22</v>
      </c>
      <c r="C157" s="3" t="s">
        <v>33</v>
      </c>
      <c r="D157" s="3" t="s">
        <v>23</v>
      </c>
      <c r="E157" s="3" t="s">
        <v>24</v>
      </c>
      <c r="F157" s="3" t="s">
        <v>48</v>
      </c>
      <c r="G157" s="3" t="s">
        <v>38</v>
      </c>
      <c r="H157" s="3" t="n">
        <v>12</v>
      </c>
      <c r="I157" s="4" t="n">
        <v>61.82</v>
      </c>
      <c r="J157" s="4" t="n">
        <f aca="false">H157*I157</f>
        <v>741.84</v>
      </c>
    </row>
    <row r="158" customFormat="false" ht="15" hidden="false" customHeight="false" outlineLevel="0" collapsed="false">
      <c r="A158" s="2" t="n">
        <v>1157</v>
      </c>
      <c r="B158" s="3" t="s">
        <v>10</v>
      </c>
      <c r="C158" s="3" t="s">
        <v>20</v>
      </c>
      <c r="D158" s="3" t="s">
        <v>23</v>
      </c>
      <c r="E158" s="3" t="s">
        <v>13</v>
      </c>
      <c r="F158" s="3" t="s">
        <v>50</v>
      </c>
      <c r="G158" s="3" t="s">
        <v>38</v>
      </c>
      <c r="H158" s="3" t="n">
        <v>8</v>
      </c>
      <c r="I158" s="4" t="n">
        <v>55.17</v>
      </c>
      <c r="J158" s="4" t="n">
        <f aca="false">H158*I158</f>
        <v>441.36</v>
      </c>
    </row>
    <row r="159" customFormat="false" ht="15" hidden="false" customHeight="false" outlineLevel="0" collapsed="false">
      <c r="A159" s="2" t="n">
        <v>1158</v>
      </c>
      <c r="B159" s="3" t="s">
        <v>41</v>
      </c>
      <c r="C159" s="3" t="s">
        <v>20</v>
      </c>
      <c r="D159" s="3" t="s">
        <v>23</v>
      </c>
      <c r="E159" s="3" t="s">
        <v>13</v>
      </c>
      <c r="F159" s="3" t="s">
        <v>28</v>
      </c>
      <c r="G159" s="3" t="s">
        <v>29</v>
      </c>
      <c r="H159" s="3" t="n">
        <v>7</v>
      </c>
      <c r="I159" s="4" t="n">
        <v>136.95</v>
      </c>
      <c r="J159" s="4" t="n">
        <f aca="false">H159*I159</f>
        <v>958.65</v>
      </c>
    </row>
    <row r="160" customFormat="false" ht="15" hidden="false" customHeight="false" outlineLevel="0" collapsed="false">
      <c r="A160" s="2" t="n">
        <v>1159</v>
      </c>
      <c r="B160" s="3" t="s">
        <v>19</v>
      </c>
      <c r="C160" s="3" t="s">
        <v>33</v>
      </c>
      <c r="D160" s="3" t="s">
        <v>12</v>
      </c>
      <c r="E160" s="3" t="s">
        <v>30</v>
      </c>
      <c r="F160" s="3" t="s">
        <v>31</v>
      </c>
      <c r="G160" s="3" t="s">
        <v>35</v>
      </c>
      <c r="H160" s="3" t="n">
        <v>5</v>
      </c>
      <c r="I160" s="4" t="n">
        <v>70.32</v>
      </c>
      <c r="J160" s="4" t="n">
        <f aca="false">H160*I160</f>
        <v>351.6</v>
      </c>
    </row>
    <row r="161" customFormat="false" ht="15" hidden="false" customHeight="false" outlineLevel="0" collapsed="false">
      <c r="A161" s="2" t="n">
        <v>1160</v>
      </c>
      <c r="B161" s="3" t="s">
        <v>26</v>
      </c>
      <c r="C161" s="3" t="s">
        <v>20</v>
      </c>
      <c r="D161" s="3" t="s">
        <v>12</v>
      </c>
      <c r="E161" s="3" t="s">
        <v>30</v>
      </c>
      <c r="F161" s="3" t="s">
        <v>40</v>
      </c>
      <c r="G161" s="3" t="s">
        <v>18</v>
      </c>
      <c r="H161" s="3" t="n">
        <v>12</v>
      </c>
      <c r="I161" s="4" t="n">
        <v>17.78</v>
      </c>
      <c r="J161" s="4" t="n">
        <f aca="false">H161*I161</f>
        <v>213.36</v>
      </c>
    </row>
    <row r="162" customFormat="false" ht="15" hidden="false" customHeight="false" outlineLevel="0" collapsed="false">
      <c r="A162" s="2" t="n">
        <v>1161</v>
      </c>
      <c r="B162" s="3" t="s">
        <v>19</v>
      </c>
      <c r="C162" s="3" t="s">
        <v>33</v>
      </c>
      <c r="D162" s="3" t="s">
        <v>23</v>
      </c>
      <c r="E162" s="3" t="s">
        <v>44</v>
      </c>
      <c r="F162" s="3" t="s">
        <v>52</v>
      </c>
      <c r="G162" s="3" t="s">
        <v>15</v>
      </c>
      <c r="H162" s="3" t="n">
        <v>3</v>
      </c>
      <c r="I162" s="4" t="n">
        <v>23.69</v>
      </c>
      <c r="J162" s="4" t="n">
        <f aca="false">H162*I162</f>
        <v>71.07</v>
      </c>
    </row>
    <row r="163" customFormat="false" ht="15" hidden="false" customHeight="false" outlineLevel="0" collapsed="false">
      <c r="A163" s="2" t="n">
        <v>1162</v>
      </c>
      <c r="B163" s="3" t="s">
        <v>22</v>
      </c>
      <c r="C163" s="3" t="s">
        <v>20</v>
      </c>
      <c r="D163" s="3" t="s">
        <v>23</v>
      </c>
      <c r="E163" s="3" t="s">
        <v>13</v>
      </c>
      <c r="F163" s="3" t="s">
        <v>50</v>
      </c>
      <c r="G163" s="3" t="s">
        <v>32</v>
      </c>
      <c r="H163" s="3" t="n">
        <v>10</v>
      </c>
      <c r="I163" s="4" t="n">
        <v>55.69</v>
      </c>
      <c r="J163" s="4" t="n">
        <f aca="false">H163*I163</f>
        <v>556.9</v>
      </c>
    </row>
    <row r="164" customFormat="false" ht="15" hidden="false" customHeight="false" outlineLevel="0" collapsed="false">
      <c r="A164" s="2" t="n">
        <v>1163</v>
      </c>
      <c r="B164" s="3" t="s">
        <v>19</v>
      </c>
      <c r="C164" s="3" t="s">
        <v>11</v>
      </c>
      <c r="D164" s="3" t="s">
        <v>12</v>
      </c>
      <c r="E164" s="3" t="s">
        <v>44</v>
      </c>
      <c r="F164" s="3" t="s">
        <v>52</v>
      </c>
      <c r="G164" s="3" t="s">
        <v>38</v>
      </c>
      <c r="H164" s="3" t="n">
        <v>7</v>
      </c>
      <c r="I164" s="4" t="n">
        <v>29.68</v>
      </c>
      <c r="J164" s="4" t="n">
        <f aca="false">H164*I164</f>
        <v>207.76</v>
      </c>
    </row>
    <row r="165" customFormat="false" ht="15" hidden="false" customHeight="false" outlineLevel="0" collapsed="false">
      <c r="A165" s="2" t="n">
        <v>1164</v>
      </c>
      <c r="B165" s="3" t="s">
        <v>41</v>
      </c>
      <c r="C165" s="3" t="s">
        <v>27</v>
      </c>
      <c r="D165" s="3" t="s">
        <v>23</v>
      </c>
      <c r="E165" s="3" t="s">
        <v>44</v>
      </c>
      <c r="F165" s="3" t="s">
        <v>45</v>
      </c>
      <c r="G165" s="3" t="s">
        <v>29</v>
      </c>
      <c r="H165" s="3" t="n">
        <v>11</v>
      </c>
      <c r="I165" s="4" t="n">
        <v>17.05</v>
      </c>
      <c r="J165" s="4" t="n">
        <f aca="false">H165*I165</f>
        <v>187.55</v>
      </c>
    </row>
    <row r="166" customFormat="false" ht="15" hidden="false" customHeight="false" outlineLevel="0" collapsed="false">
      <c r="A166" s="2" t="n">
        <v>1165</v>
      </c>
      <c r="B166" s="3" t="s">
        <v>22</v>
      </c>
      <c r="C166" s="3" t="s">
        <v>11</v>
      </c>
      <c r="D166" s="3" t="s">
        <v>23</v>
      </c>
      <c r="E166" s="3" t="s">
        <v>30</v>
      </c>
      <c r="F166" s="3" t="s">
        <v>40</v>
      </c>
      <c r="G166" s="3" t="s">
        <v>18</v>
      </c>
      <c r="H166" s="3" t="n">
        <v>1</v>
      </c>
      <c r="I166" s="4" t="n">
        <v>93.71</v>
      </c>
      <c r="J166" s="4" t="n">
        <f aca="false">H166*I166</f>
        <v>93.71</v>
      </c>
    </row>
    <row r="167" customFormat="false" ht="15" hidden="false" customHeight="false" outlineLevel="0" collapsed="false">
      <c r="A167" s="2" t="n">
        <v>1166</v>
      </c>
      <c r="B167" s="3" t="s">
        <v>22</v>
      </c>
      <c r="C167" s="3" t="s">
        <v>27</v>
      </c>
      <c r="D167" s="3" t="s">
        <v>23</v>
      </c>
      <c r="E167" s="3" t="s">
        <v>30</v>
      </c>
      <c r="F167" s="3" t="s">
        <v>31</v>
      </c>
      <c r="G167" s="3" t="s">
        <v>35</v>
      </c>
      <c r="H167" s="3" t="n">
        <v>2</v>
      </c>
      <c r="I167" s="4" t="n">
        <v>36.02</v>
      </c>
      <c r="J167" s="4" t="n">
        <f aca="false">H167*I167</f>
        <v>72.04</v>
      </c>
    </row>
    <row r="168" customFormat="false" ht="15" hidden="false" customHeight="false" outlineLevel="0" collapsed="false">
      <c r="A168" s="2" t="n">
        <v>1167</v>
      </c>
      <c r="B168" s="3" t="s">
        <v>41</v>
      </c>
      <c r="C168" s="3" t="s">
        <v>33</v>
      </c>
      <c r="D168" s="3" t="s">
        <v>12</v>
      </c>
      <c r="E168" s="3" t="s">
        <v>30</v>
      </c>
      <c r="F168" s="3" t="s">
        <v>40</v>
      </c>
      <c r="G168" s="3" t="s">
        <v>21</v>
      </c>
      <c r="H168" s="3" t="n">
        <v>4</v>
      </c>
      <c r="I168" s="4" t="n">
        <v>56.2</v>
      </c>
      <c r="J168" s="4" t="n">
        <f aca="false">H168*I168</f>
        <v>224.8</v>
      </c>
    </row>
    <row r="169" customFormat="false" ht="15" hidden="false" customHeight="false" outlineLevel="0" collapsed="false">
      <c r="A169" s="2" t="n">
        <v>1168</v>
      </c>
      <c r="B169" s="3" t="s">
        <v>19</v>
      </c>
      <c r="C169" s="3" t="s">
        <v>27</v>
      </c>
      <c r="D169" s="3" t="s">
        <v>23</v>
      </c>
      <c r="E169" s="3" t="s">
        <v>13</v>
      </c>
      <c r="F169" s="3" t="s">
        <v>47</v>
      </c>
      <c r="G169" s="3" t="s">
        <v>21</v>
      </c>
      <c r="H169" s="3" t="n">
        <v>2</v>
      </c>
      <c r="I169" s="4" t="n">
        <v>28.65</v>
      </c>
      <c r="J169" s="4" t="n">
        <f aca="false">H169*I169</f>
        <v>57.3</v>
      </c>
    </row>
    <row r="170" customFormat="false" ht="15" hidden="false" customHeight="false" outlineLevel="0" collapsed="false">
      <c r="A170" s="2" t="n">
        <v>1169</v>
      </c>
      <c r="B170" s="3" t="s">
        <v>10</v>
      </c>
      <c r="C170" s="3" t="s">
        <v>27</v>
      </c>
      <c r="D170" s="3" t="s">
        <v>23</v>
      </c>
      <c r="E170" s="3" t="s">
        <v>24</v>
      </c>
      <c r="F170" s="3" t="s">
        <v>49</v>
      </c>
      <c r="G170" s="3" t="s">
        <v>15</v>
      </c>
      <c r="H170" s="3" t="n">
        <v>6</v>
      </c>
      <c r="I170" s="4" t="n">
        <v>33.11</v>
      </c>
      <c r="J170" s="4" t="n">
        <f aca="false">H170*I170</f>
        <v>198.66</v>
      </c>
    </row>
    <row r="171" customFormat="false" ht="15" hidden="false" customHeight="false" outlineLevel="0" collapsed="false">
      <c r="A171" s="2" t="n">
        <v>1170</v>
      </c>
      <c r="B171" s="3" t="s">
        <v>39</v>
      </c>
      <c r="C171" s="3" t="s">
        <v>20</v>
      </c>
      <c r="D171" s="3" t="s">
        <v>23</v>
      </c>
      <c r="E171" s="3" t="s">
        <v>44</v>
      </c>
      <c r="F171" s="3" t="s">
        <v>45</v>
      </c>
      <c r="G171" s="3" t="s">
        <v>46</v>
      </c>
      <c r="H171" s="3" t="n">
        <v>10</v>
      </c>
      <c r="I171" s="4" t="n">
        <v>15.49</v>
      </c>
      <c r="J171" s="4" t="n">
        <f aca="false">H171*I171</f>
        <v>154.9</v>
      </c>
    </row>
    <row r="172" customFormat="false" ht="15" hidden="false" customHeight="false" outlineLevel="0" collapsed="false">
      <c r="A172" s="2" t="n">
        <v>1171</v>
      </c>
      <c r="B172" s="3" t="s">
        <v>22</v>
      </c>
      <c r="C172" s="3" t="s">
        <v>20</v>
      </c>
      <c r="D172" s="3" t="s">
        <v>12</v>
      </c>
      <c r="E172" s="3" t="s">
        <v>24</v>
      </c>
      <c r="F172" s="3" t="s">
        <v>34</v>
      </c>
      <c r="G172" s="3" t="s">
        <v>38</v>
      </c>
      <c r="H172" s="3" t="n">
        <v>3</v>
      </c>
      <c r="I172" s="4" t="n">
        <v>28.65</v>
      </c>
      <c r="J172" s="4" t="n">
        <f aca="false">H172*I172</f>
        <v>85.95</v>
      </c>
    </row>
    <row r="173" customFormat="false" ht="15" hidden="false" customHeight="false" outlineLevel="0" collapsed="false">
      <c r="A173" s="2" t="n">
        <v>1172</v>
      </c>
      <c r="B173" s="3" t="s">
        <v>19</v>
      </c>
      <c r="C173" s="3" t="s">
        <v>11</v>
      </c>
      <c r="D173" s="3" t="s">
        <v>12</v>
      </c>
      <c r="E173" s="3" t="s">
        <v>24</v>
      </c>
      <c r="F173" s="3" t="s">
        <v>34</v>
      </c>
      <c r="G173" s="3" t="s">
        <v>35</v>
      </c>
      <c r="H173" s="3" t="n">
        <v>3</v>
      </c>
      <c r="I173" s="4" t="n">
        <v>22.65</v>
      </c>
      <c r="J173" s="4" t="n">
        <f aca="false">H173*I173</f>
        <v>67.95</v>
      </c>
    </row>
    <row r="174" customFormat="false" ht="15" hidden="false" customHeight="false" outlineLevel="0" collapsed="false">
      <c r="A174" s="2" t="n">
        <v>1173</v>
      </c>
      <c r="B174" s="3" t="s">
        <v>39</v>
      </c>
      <c r="C174" s="3" t="s">
        <v>27</v>
      </c>
      <c r="D174" s="3" t="s">
        <v>23</v>
      </c>
      <c r="E174" s="3" t="s">
        <v>13</v>
      </c>
      <c r="F174" s="3" t="s">
        <v>50</v>
      </c>
      <c r="G174" s="3" t="s">
        <v>38</v>
      </c>
      <c r="H174" s="3" t="n">
        <v>11</v>
      </c>
      <c r="I174" s="4" t="n">
        <v>210.5</v>
      </c>
      <c r="J174" s="4" t="n">
        <f aca="false">H174*I174</f>
        <v>2315.5</v>
      </c>
    </row>
    <row r="175" customFormat="false" ht="15" hidden="false" customHeight="false" outlineLevel="0" collapsed="false">
      <c r="A175" s="2" t="n">
        <v>1174</v>
      </c>
      <c r="B175" s="3" t="s">
        <v>39</v>
      </c>
      <c r="C175" s="3" t="s">
        <v>33</v>
      </c>
      <c r="D175" s="3" t="s">
        <v>23</v>
      </c>
      <c r="E175" s="3" t="s">
        <v>24</v>
      </c>
      <c r="F175" s="3" t="s">
        <v>34</v>
      </c>
      <c r="G175" s="3" t="s">
        <v>29</v>
      </c>
      <c r="H175" s="3" t="n">
        <v>8</v>
      </c>
      <c r="I175" s="4" t="n">
        <v>35.27</v>
      </c>
      <c r="J175" s="4" t="n">
        <f aca="false">H175*I175</f>
        <v>282.16</v>
      </c>
    </row>
    <row r="176" customFormat="false" ht="15" hidden="false" customHeight="false" outlineLevel="0" collapsed="false">
      <c r="A176" s="2" t="n">
        <v>1175</v>
      </c>
      <c r="B176" s="3" t="s">
        <v>22</v>
      </c>
      <c r="C176" s="3" t="s">
        <v>20</v>
      </c>
      <c r="D176" s="3" t="s">
        <v>23</v>
      </c>
      <c r="E176" s="3" t="s">
        <v>24</v>
      </c>
      <c r="F176" s="3" t="s">
        <v>49</v>
      </c>
      <c r="G176" s="3" t="s">
        <v>46</v>
      </c>
      <c r="H176" s="3" t="n">
        <v>8</v>
      </c>
      <c r="I176" s="4" t="n">
        <v>27.25</v>
      </c>
      <c r="J176" s="4" t="n">
        <f aca="false">H176*I176</f>
        <v>218</v>
      </c>
    </row>
    <row r="177" customFormat="false" ht="15" hidden="false" customHeight="false" outlineLevel="0" collapsed="false">
      <c r="A177" s="2" t="n">
        <v>1176</v>
      </c>
      <c r="B177" s="3" t="s">
        <v>39</v>
      </c>
      <c r="C177" s="3" t="s">
        <v>27</v>
      </c>
      <c r="D177" s="3" t="s">
        <v>12</v>
      </c>
      <c r="E177" s="3" t="s">
        <v>13</v>
      </c>
      <c r="F177" s="3" t="s">
        <v>14</v>
      </c>
      <c r="G177" s="3" t="s">
        <v>32</v>
      </c>
      <c r="H177" s="3" t="n">
        <v>9</v>
      </c>
      <c r="I177" s="4" t="n">
        <v>144.93</v>
      </c>
      <c r="J177" s="4" t="n">
        <f aca="false">H177*I177</f>
        <v>1304.37</v>
      </c>
    </row>
    <row r="178" customFormat="false" ht="15" hidden="false" customHeight="false" outlineLevel="0" collapsed="false">
      <c r="A178" s="2" t="n">
        <v>1177</v>
      </c>
      <c r="B178" s="3" t="s">
        <v>41</v>
      </c>
      <c r="C178" s="3" t="s">
        <v>11</v>
      </c>
      <c r="D178" s="3" t="s">
        <v>12</v>
      </c>
      <c r="E178" s="3" t="s">
        <v>16</v>
      </c>
      <c r="F178" s="3" t="s">
        <v>36</v>
      </c>
      <c r="G178" s="3" t="s">
        <v>32</v>
      </c>
      <c r="H178" s="3" t="n">
        <v>8</v>
      </c>
      <c r="I178" s="4" t="n">
        <v>48.58</v>
      </c>
      <c r="J178" s="4" t="n">
        <f aca="false">H178*I178</f>
        <v>388.64</v>
      </c>
    </row>
    <row r="179" customFormat="false" ht="15" hidden="false" customHeight="false" outlineLevel="0" collapsed="false">
      <c r="A179" s="2" t="n">
        <v>1178</v>
      </c>
      <c r="B179" s="3" t="s">
        <v>41</v>
      </c>
      <c r="C179" s="3" t="s">
        <v>11</v>
      </c>
      <c r="D179" s="3" t="s">
        <v>12</v>
      </c>
      <c r="E179" s="3" t="s">
        <v>13</v>
      </c>
      <c r="F179" s="3" t="s">
        <v>28</v>
      </c>
      <c r="G179" s="3" t="s">
        <v>18</v>
      </c>
      <c r="H179" s="3" t="n">
        <v>2</v>
      </c>
      <c r="I179" s="4" t="n">
        <v>216.57</v>
      </c>
      <c r="J179" s="4" t="n">
        <f aca="false">H179*I179</f>
        <v>433.14</v>
      </c>
    </row>
    <row r="180" customFormat="false" ht="15" hidden="false" customHeight="false" outlineLevel="0" collapsed="false">
      <c r="A180" s="2" t="n">
        <v>1179</v>
      </c>
      <c r="B180" s="3" t="s">
        <v>10</v>
      </c>
      <c r="C180" s="3" t="s">
        <v>33</v>
      </c>
      <c r="D180" s="3" t="s">
        <v>23</v>
      </c>
      <c r="E180" s="3" t="s">
        <v>44</v>
      </c>
      <c r="F180" s="3" t="s">
        <v>52</v>
      </c>
      <c r="G180" s="3" t="s">
        <v>46</v>
      </c>
      <c r="H180" s="3" t="n">
        <v>10</v>
      </c>
      <c r="I180" s="4" t="n">
        <v>26.44</v>
      </c>
      <c r="J180" s="4" t="n">
        <f aca="false">H180*I180</f>
        <v>264.4</v>
      </c>
    </row>
    <row r="181" customFormat="false" ht="15" hidden="false" customHeight="false" outlineLevel="0" collapsed="false">
      <c r="A181" s="2" t="n">
        <v>1180</v>
      </c>
      <c r="B181" s="3" t="s">
        <v>41</v>
      </c>
      <c r="C181" s="3" t="s">
        <v>20</v>
      </c>
      <c r="D181" s="3" t="s">
        <v>23</v>
      </c>
      <c r="E181" s="3" t="s">
        <v>44</v>
      </c>
      <c r="F181" s="3" t="s">
        <v>52</v>
      </c>
      <c r="G181" s="3" t="s">
        <v>15</v>
      </c>
      <c r="H181" s="3" t="n">
        <v>11</v>
      </c>
      <c r="I181" s="4" t="n">
        <v>36.2</v>
      </c>
      <c r="J181" s="4" t="n">
        <f aca="false">H181*I181</f>
        <v>398.2</v>
      </c>
    </row>
  </sheetData>
  <autoFilter ref="A1:J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2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5" t="s">
        <v>55</v>
      </c>
      <c r="B1" s="5"/>
      <c r="C1" s="5"/>
    </row>
    <row r="2" customFormat="false" ht="15" hidden="false" customHeight="false" outlineLevel="0" collapsed="false">
      <c r="A2" s="6" t="s">
        <v>56</v>
      </c>
      <c r="B2" s="6"/>
      <c r="C2" s="6"/>
    </row>
    <row r="3" customFormat="false" ht="15" hidden="false" customHeight="false" outlineLevel="0" collapsed="false">
      <c r="A3" s="7"/>
      <c r="B3" s="7"/>
      <c r="C3" s="8" t="s">
        <v>57</v>
      </c>
    </row>
    <row r="5" customFormat="false" ht="21.75" hidden="false" customHeight="true" outlineLevel="0" collapsed="false">
      <c r="A5" s="9" t="s">
        <v>58</v>
      </c>
      <c r="B5" s="9"/>
      <c r="C5" s="9"/>
    </row>
    <row r="6" customFormat="false" ht="30" hidden="false" customHeight="true" outlineLevel="0" collapsed="false">
      <c r="A6" s="10" t="n">
        <v>1</v>
      </c>
      <c r="B6" s="11" t="s">
        <v>59</v>
      </c>
      <c r="C6" s="12"/>
    </row>
    <row r="7" customFormat="false" ht="30" hidden="false" customHeight="true" outlineLevel="0" collapsed="false">
      <c r="A7" s="10" t="n">
        <v>2</v>
      </c>
      <c r="B7" s="11" t="s">
        <v>60</v>
      </c>
      <c r="C7" s="12"/>
    </row>
    <row r="8" customFormat="false" ht="21.75" hidden="false" customHeight="true" outlineLevel="0" collapsed="false">
      <c r="A8" s="9" t="s">
        <v>61</v>
      </c>
      <c r="B8" s="9"/>
      <c r="C8" s="9"/>
    </row>
    <row r="9" customFormat="false" ht="30" hidden="false" customHeight="true" outlineLevel="0" collapsed="false">
      <c r="A9" s="10" t="n">
        <v>3</v>
      </c>
      <c r="B9" s="11" t="s">
        <v>62</v>
      </c>
      <c r="C9" s="12"/>
    </row>
    <row r="10" customFormat="false" ht="30" hidden="false" customHeight="true" outlineLevel="0" collapsed="false">
      <c r="A10" s="10" t="n">
        <v>4</v>
      </c>
      <c r="B10" s="11" t="s">
        <v>63</v>
      </c>
      <c r="C10" s="12"/>
    </row>
    <row r="11" customFormat="false" ht="30" hidden="false" customHeight="true" outlineLevel="0" collapsed="false">
      <c r="A11" s="10" t="n">
        <v>5</v>
      </c>
      <c r="B11" s="11" t="s">
        <v>64</v>
      </c>
      <c r="C11" s="12"/>
    </row>
    <row r="12" customFormat="false" ht="21.75" hidden="false" customHeight="true" outlineLevel="0" collapsed="false">
      <c r="A12" s="9" t="s">
        <v>65</v>
      </c>
      <c r="B12" s="9"/>
      <c r="C12" s="9"/>
    </row>
    <row r="13" customFormat="false" ht="30" hidden="false" customHeight="true" outlineLevel="0" collapsed="false">
      <c r="A13" s="10" t="n">
        <v>6</v>
      </c>
      <c r="B13" s="11" t="s">
        <v>66</v>
      </c>
      <c r="C13" s="12"/>
    </row>
    <row r="14" customFormat="false" ht="30" hidden="false" customHeight="true" outlineLevel="0" collapsed="false">
      <c r="A14" s="10" t="n">
        <v>7</v>
      </c>
      <c r="B14" s="11" t="s">
        <v>67</v>
      </c>
      <c r="C14" s="12"/>
    </row>
    <row r="15" customFormat="false" ht="30" hidden="false" customHeight="true" outlineLevel="0" collapsed="false">
      <c r="A15" s="10" t="n">
        <v>8</v>
      </c>
      <c r="B15" s="11" t="s">
        <v>68</v>
      </c>
      <c r="C15" s="12"/>
    </row>
    <row r="16" customFormat="false" ht="21.75" hidden="false" customHeight="true" outlineLevel="0" collapsed="false">
      <c r="A16" s="9" t="s">
        <v>69</v>
      </c>
      <c r="B16" s="9"/>
      <c r="C16" s="9"/>
    </row>
    <row r="17" customFormat="false" ht="30" hidden="false" customHeight="true" outlineLevel="0" collapsed="false">
      <c r="A17" s="10" t="n">
        <v>9</v>
      </c>
      <c r="B17" s="11" t="s">
        <v>70</v>
      </c>
      <c r="C17" s="12"/>
    </row>
    <row r="18" customFormat="false" ht="30" hidden="false" customHeight="true" outlineLevel="0" collapsed="false">
      <c r="A18" s="10" t="n">
        <v>10</v>
      </c>
      <c r="B18" s="11" t="s">
        <v>71</v>
      </c>
      <c r="C18" s="12"/>
    </row>
    <row r="19" customFormat="false" ht="21.75" hidden="false" customHeight="true" outlineLevel="0" collapsed="false">
      <c r="A19" s="9" t="s">
        <v>72</v>
      </c>
      <c r="B19" s="9"/>
      <c r="C19" s="9"/>
    </row>
    <row r="20" customFormat="false" ht="30" hidden="false" customHeight="true" outlineLevel="0" collapsed="false">
      <c r="A20" s="10" t="n">
        <v>11</v>
      </c>
      <c r="B20" s="11" t="s">
        <v>73</v>
      </c>
      <c r="C20" s="12"/>
    </row>
    <row r="21" customFormat="false" ht="30" hidden="false" customHeight="true" outlineLevel="0" collapsed="false">
      <c r="A21" s="10" t="n">
        <v>12</v>
      </c>
      <c r="B21" s="11" t="s">
        <v>74</v>
      </c>
      <c r="C21" s="12"/>
    </row>
    <row r="22" customFormat="false" ht="21.75" hidden="false" customHeight="true" outlineLevel="0" collapsed="false">
      <c r="A22" s="9" t="s">
        <v>75</v>
      </c>
      <c r="B22" s="9"/>
      <c r="C22" s="9"/>
    </row>
    <row r="23" customFormat="false" ht="30" hidden="false" customHeight="true" outlineLevel="0" collapsed="false">
      <c r="A23" s="10" t="n">
        <v>13</v>
      </c>
      <c r="B23" s="11" t="s">
        <v>76</v>
      </c>
      <c r="C23" s="12"/>
    </row>
    <row r="24" customFormat="false" ht="30" hidden="false" customHeight="true" outlineLevel="0" collapsed="false">
      <c r="A24" s="10" t="n">
        <v>14</v>
      </c>
      <c r="B24" s="11" t="s">
        <v>77</v>
      </c>
      <c r="C24" s="12"/>
    </row>
    <row r="25" customFormat="false" ht="30" hidden="false" customHeight="true" outlineLevel="0" collapsed="false">
      <c r="A25" s="10" t="n">
        <v>15</v>
      </c>
      <c r="B25" s="11" t="s">
        <v>78</v>
      </c>
      <c r="C25" s="12"/>
    </row>
    <row r="26" customFormat="false" ht="21.75" hidden="false" customHeight="true" outlineLevel="0" collapsed="false">
      <c r="A26" s="9" t="s">
        <v>79</v>
      </c>
      <c r="B26" s="9"/>
      <c r="C26" s="9"/>
    </row>
    <row r="27" customFormat="false" ht="30" hidden="false" customHeight="true" outlineLevel="0" collapsed="false">
      <c r="A27" s="10" t="n">
        <v>16</v>
      </c>
      <c r="B27" s="11" t="s">
        <v>80</v>
      </c>
      <c r="C27" s="12"/>
    </row>
    <row r="28" customFormat="false" ht="30" hidden="false" customHeight="true" outlineLevel="0" collapsed="false">
      <c r="A28" s="10" t="n">
        <v>17</v>
      </c>
      <c r="B28" s="11" t="s">
        <v>81</v>
      </c>
      <c r="C28" s="12"/>
    </row>
    <row r="29" customFormat="false" ht="21.75" hidden="false" customHeight="true" outlineLevel="0" collapsed="false">
      <c r="A29" s="9" t="s">
        <v>82</v>
      </c>
      <c r="B29" s="9"/>
      <c r="C29" s="9"/>
    </row>
    <row r="30" customFormat="false" ht="30" hidden="false" customHeight="true" outlineLevel="0" collapsed="false">
      <c r="A30" s="10" t="n">
        <v>18</v>
      </c>
      <c r="B30" s="11" t="s">
        <v>83</v>
      </c>
      <c r="C30" s="12"/>
    </row>
    <row r="31" customFormat="false" ht="30" hidden="false" customHeight="true" outlineLevel="0" collapsed="false">
      <c r="A31" s="10" t="n">
        <v>19</v>
      </c>
      <c r="B31" s="11" t="s">
        <v>84</v>
      </c>
      <c r="C31" s="12"/>
    </row>
    <row r="32" customFormat="false" ht="21.75" hidden="false" customHeight="true" outlineLevel="0" collapsed="false">
      <c r="A32" s="9" t="s">
        <v>85</v>
      </c>
      <c r="B32" s="9"/>
      <c r="C32" s="9"/>
    </row>
    <row r="33" customFormat="false" ht="30" hidden="false" customHeight="true" outlineLevel="0" collapsed="false">
      <c r="A33" s="10" t="n">
        <v>20</v>
      </c>
      <c r="B33" s="11" t="s">
        <v>86</v>
      </c>
      <c r="C33" s="12"/>
    </row>
    <row r="34" customFormat="false" ht="30" hidden="false" customHeight="true" outlineLevel="0" collapsed="false">
      <c r="A34" s="10" t="n">
        <v>21</v>
      </c>
      <c r="B34" s="11" t="s">
        <v>87</v>
      </c>
      <c r="C34" s="12"/>
    </row>
    <row r="35" customFormat="false" ht="21.75" hidden="false" customHeight="true" outlineLevel="0" collapsed="false">
      <c r="A35" s="9" t="s">
        <v>88</v>
      </c>
      <c r="B35" s="9"/>
      <c r="C35" s="9"/>
    </row>
    <row r="36" customFormat="false" ht="30" hidden="false" customHeight="true" outlineLevel="0" collapsed="false">
      <c r="A36" s="10" t="n">
        <v>22</v>
      </c>
      <c r="B36" s="11" t="s">
        <v>89</v>
      </c>
      <c r="C36" s="12"/>
    </row>
    <row r="37" customFormat="false" ht="30" hidden="false" customHeight="true" outlineLevel="0" collapsed="false">
      <c r="A37" s="10" t="n">
        <v>23</v>
      </c>
      <c r="B37" s="11" t="s">
        <v>90</v>
      </c>
      <c r="C37" s="12"/>
    </row>
    <row r="38" customFormat="false" ht="30" hidden="false" customHeight="true" outlineLevel="0" collapsed="false">
      <c r="A38" s="10" t="n">
        <v>24</v>
      </c>
      <c r="B38" s="11" t="s">
        <v>91</v>
      </c>
      <c r="C38" s="12"/>
    </row>
    <row r="39" customFormat="false" ht="21.75" hidden="false" customHeight="true" outlineLevel="0" collapsed="false">
      <c r="A39" s="9" t="s">
        <v>92</v>
      </c>
      <c r="B39" s="9"/>
      <c r="C39" s="9"/>
    </row>
    <row r="40" customFormat="false" ht="30" hidden="false" customHeight="true" outlineLevel="0" collapsed="false">
      <c r="A40" s="10" t="n">
        <v>25</v>
      </c>
      <c r="B40" s="11" t="s">
        <v>93</v>
      </c>
      <c r="C40" s="12"/>
    </row>
    <row r="41" customFormat="false" ht="30" hidden="false" customHeight="true" outlineLevel="0" collapsed="false">
      <c r="A41" s="10" t="n">
        <v>26</v>
      </c>
      <c r="B41" s="11" t="s">
        <v>94</v>
      </c>
      <c r="C41" s="12"/>
    </row>
    <row r="42" customFormat="false" ht="30" hidden="false" customHeight="true" outlineLevel="0" collapsed="false">
      <c r="A42" s="10" t="n">
        <v>27</v>
      </c>
      <c r="B42" s="11" t="s">
        <v>95</v>
      </c>
      <c r="C42" s="12"/>
    </row>
    <row r="43" customFormat="false" ht="30" hidden="false" customHeight="true" outlineLevel="0" collapsed="false">
      <c r="A43" s="10" t="n">
        <v>28</v>
      </c>
      <c r="B43" s="11" t="s">
        <v>96</v>
      </c>
      <c r="C43" s="12"/>
    </row>
    <row r="44" customFormat="false" ht="30" hidden="false" customHeight="true" outlineLevel="0" collapsed="false">
      <c r="A44" s="10" t="n">
        <v>29</v>
      </c>
      <c r="B44" s="11" t="s">
        <v>97</v>
      </c>
      <c r="C44" s="12"/>
    </row>
  </sheetData>
  <mergeCells count="14">
    <mergeCell ref="A1:C1"/>
    <mergeCell ref="A2:C2"/>
    <mergeCell ref="A3:B3"/>
    <mergeCell ref="A5:C5"/>
    <mergeCell ref="A8:C8"/>
    <mergeCell ref="A12:C12"/>
    <mergeCell ref="A16:C16"/>
    <mergeCell ref="A19:C19"/>
    <mergeCell ref="A22:C22"/>
    <mergeCell ref="A26:C26"/>
    <mergeCell ref="A29:C29"/>
    <mergeCell ref="A32:C32"/>
    <mergeCell ref="A35:C35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3" t="s">
        <v>98</v>
      </c>
      <c r="B1" s="13"/>
      <c r="C1" s="13"/>
      <c r="D1" s="13"/>
    </row>
    <row r="3" customFormat="false" ht="15" hidden="false" customHeight="false" outlineLevel="0" collapsed="false">
      <c r="A3" s="1" t="s">
        <v>99</v>
      </c>
      <c r="B3" s="1" t="s">
        <v>100</v>
      </c>
      <c r="C3" s="1" t="s">
        <v>101</v>
      </c>
      <c r="D3" s="1" t="s">
        <v>102</v>
      </c>
    </row>
    <row r="4" customFormat="false" ht="25.5" hidden="false" customHeight="true" outlineLevel="0" collapsed="false">
      <c r="A4" s="14" t="n">
        <v>1</v>
      </c>
      <c r="B4" s="15" t="s">
        <v>103</v>
      </c>
      <c r="C4" s="3" t="s">
        <v>104</v>
      </c>
      <c r="D4" s="16" t="n">
        <f aca="false">COUNT(Data!$A$2:$A$181)</f>
        <v>180</v>
      </c>
    </row>
    <row r="5" customFormat="false" ht="25.5" hidden="false" customHeight="true" outlineLevel="0" collapsed="false">
      <c r="A5" s="14" t="n">
        <v>2</v>
      </c>
      <c r="B5" s="15" t="s">
        <v>105</v>
      </c>
      <c r="C5" s="3" t="s">
        <v>104</v>
      </c>
      <c r="D5" s="16" t="n">
        <f aca="false">COUNT(Data!$I$2:$I$181)</f>
        <v>180</v>
      </c>
    </row>
    <row r="6" customFormat="false" ht="25.5" hidden="false" customHeight="true" outlineLevel="0" collapsed="false">
      <c r="A6" s="14" t="n">
        <v>3</v>
      </c>
      <c r="B6" s="15" t="s">
        <v>106</v>
      </c>
      <c r="C6" s="3" t="s">
        <v>107</v>
      </c>
      <c r="D6" s="16" t="n">
        <f aca="false">COUNTIF(Data!$C$2:$C$181,"North")</f>
        <v>47</v>
      </c>
    </row>
    <row r="7" customFormat="false" ht="25.5" hidden="false" customHeight="true" outlineLevel="0" collapsed="false">
      <c r="A7" s="14" t="n">
        <v>4</v>
      </c>
      <c r="B7" s="15" t="s">
        <v>108</v>
      </c>
      <c r="C7" s="3" t="s">
        <v>107</v>
      </c>
      <c r="D7" s="16" t="n">
        <f aca="false">COUNTIF(Data!$E$2:$E$181,"Electronics")</f>
        <v>37</v>
      </c>
    </row>
    <row r="8" customFormat="false" ht="25.5" hidden="false" customHeight="true" outlineLevel="0" collapsed="false">
      <c r="A8" s="14" t="n">
        <v>5</v>
      </c>
      <c r="B8" s="15" t="s">
        <v>109</v>
      </c>
      <c r="C8" s="3" t="s">
        <v>107</v>
      </c>
      <c r="D8" s="16" t="n">
        <f aca="false">COUNTIF(Data!$H$2:$H$181,"&gt;=10")</f>
        <v>47</v>
      </c>
    </row>
    <row r="9" customFormat="false" ht="25.5" hidden="false" customHeight="true" outlineLevel="0" collapsed="false">
      <c r="A9" s="14" t="n">
        <v>6</v>
      </c>
      <c r="B9" s="15" t="s">
        <v>110</v>
      </c>
      <c r="C9" s="3" t="s">
        <v>111</v>
      </c>
      <c r="D9" s="16" t="n">
        <f aca="false">COUNTIFS(Data!$D$2:$D$181,"Online",Data!$C$2:$C$181,"South")</f>
        <v>27</v>
      </c>
    </row>
    <row r="10" customFormat="false" ht="25.5" hidden="false" customHeight="true" outlineLevel="0" collapsed="false">
      <c r="A10" s="14" t="n">
        <v>7</v>
      </c>
      <c r="B10" s="15" t="s">
        <v>112</v>
      </c>
      <c r="C10" s="3" t="s">
        <v>111</v>
      </c>
      <c r="D10" s="16" t="n">
        <f aca="false">COUNTIFS(Data!$E$2:$E$181,"Clothing",Data!$D$2:$D$181,"In-Store")</f>
        <v>10</v>
      </c>
    </row>
    <row r="11" customFormat="false" ht="25.5" hidden="false" customHeight="true" outlineLevel="0" collapsed="false">
      <c r="A11" s="14" t="n">
        <v>8</v>
      </c>
      <c r="B11" s="15" t="s">
        <v>113</v>
      </c>
      <c r="C11" s="3" t="s">
        <v>111</v>
      </c>
      <c r="D11" s="16" t="n">
        <f aca="false">COUNTIFS(Data!$E$2:$E$181,"Sports",Data!$C$2:$C$181,"West",Data!$H$2:$H$181,"&gt;5")</f>
        <v>3</v>
      </c>
    </row>
    <row r="12" customFormat="false" ht="25.5" hidden="false" customHeight="true" outlineLevel="0" collapsed="false">
      <c r="A12" s="14" t="n">
        <v>9</v>
      </c>
      <c r="B12" s="15" t="s">
        <v>114</v>
      </c>
      <c r="C12" s="3" t="s">
        <v>115</v>
      </c>
      <c r="D12" s="16" t="n">
        <f aca="false">SUM(Data!$H$2:$H$181)</f>
        <v>1202</v>
      </c>
    </row>
    <row r="13" customFormat="false" ht="25.5" hidden="false" customHeight="true" outlineLevel="0" collapsed="false">
      <c r="A13" s="14" t="n">
        <v>10</v>
      </c>
      <c r="B13" s="15" t="s">
        <v>116</v>
      </c>
      <c r="C13" s="3" t="s">
        <v>115</v>
      </c>
      <c r="D13" s="16" t="n">
        <f aca="false">SUM(Data!$J$2:$J$181)</f>
        <v>77262.17</v>
      </c>
    </row>
    <row r="14" customFormat="false" ht="25.5" hidden="false" customHeight="true" outlineLevel="0" collapsed="false">
      <c r="A14" s="14" t="n">
        <v>11</v>
      </c>
      <c r="B14" s="15" t="s">
        <v>117</v>
      </c>
      <c r="C14" s="3" t="s">
        <v>118</v>
      </c>
      <c r="D14" s="16" t="n">
        <f aca="false">SUMIF(Data!$D$2:$D$181,"Online",Data!$J$2:$J$181)</f>
        <v>38903.92</v>
      </c>
    </row>
    <row r="15" customFormat="false" ht="25.5" hidden="false" customHeight="true" outlineLevel="0" collapsed="false">
      <c r="A15" s="14" t="n">
        <v>12</v>
      </c>
      <c r="B15" s="15" t="s">
        <v>119</v>
      </c>
      <c r="C15" s="3" t="s">
        <v>118</v>
      </c>
      <c r="D15" s="16" t="n">
        <f aca="false">SUMIF(Data!$E$2:$E$181,"Home",Data!$J$2:$J$181)</f>
        <v>10758.84</v>
      </c>
    </row>
    <row r="16" customFormat="false" ht="25.5" hidden="false" customHeight="true" outlineLevel="0" collapsed="false">
      <c r="A16" s="14" t="n">
        <v>13</v>
      </c>
      <c r="B16" s="15" t="s">
        <v>120</v>
      </c>
      <c r="C16" s="3" t="s">
        <v>121</v>
      </c>
      <c r="D16" s="16" t="n">
        <f aca="false">SUMIFS(Data!$J$2:$J$181,Data!$E$2:$E$181,"Electronics",Data!$D$2:$D$181,"Online")</f>
        <v>14975</v>
      </c>
    </row>
    <row r="17" customFormat="false" ht="25.5" hidden="false" customHeight="true" outlineLevel="0" collapsed="false">
      <c r="A17" s="14" t="n">
        <v>14</v>
      </c>
      <c r="B17" s="15" t="s">
        <v>122</v>
      </c>
      <c r="C17" s="3" t="s">
        <v>121</v>
      </c>
      <c r="D17" s="16" t="n">
        <f aca="false">SUMIFS(Data!$J$2:$J$181,Data!$C$2:$C$181,"East",Data!$D$2:$D$181,"In-Store")</f>
        <v>7159.25</v>
      </c>
    </row>
    <row r="18" customFormat="false" ht="25.5" hidden="false" customHeight="true" outlineLevel="0" collapsed="false">
      <c r="A18" s="14" t="n">
        <v>15</v>
      </c>
      <c r="B18" s="15" t="s">
        <v>123</v>
      </c>
      <c r="C18" s="3" t="s">
        <v>121</v>
      </c>
      <c r="D18" s="16" t="n">
        <f aca="false">SUMIFS(Data!$H$2:$H$181,Data!$E$2:$E$181,"Toys",Data!$G$2:$G$181,"Chen")</f>
        <v>25</v>
      </c>
    </row>
    <row r="19" customFormat="false" ht="25.5" hidden="false" customHeight="true" outlineLevel="0" collapsed="false">
      <c r="A19" s="14" t="n">
        <v>16</v>
      </c>
      <c r="B19" s="15" t="s">
        <v>124</v>
      </c>
      <c r="C19" s="3" t="s">
        <v>125</v>
      </c>
      <c r="D19" s="16" t="n">
        <f aca="false">AVERAGE(Data!$I$2:$I$181)</f>
        <v>62.3832222222222</v>
      </c>
    </row>
    <row r="20" customFormat="false" ht="25.5" hidden="false" customHeight="true" outlineLevel="0" collapsed="false">
      <c r="A20" s="14" t="n">
        <v>17</v>
      </c>
      <c r="B20" s="15" t="s">
        <v>126</v>
      </c>
      <c r="C20" s="3" t="s">
        <v>125</v>
      </c>
      <c r="D20" s="16" t="n">
        <f aca="false">AVERAGE(Data!$J$2:$J$181)</f>
        <v>429.234277777778</v>
      </c>
    </row>
    <row r="21" customFormat="false" ht="25.5" hidden="false" customHeight="true" outlineLevel="0" collapsed="false">
      <c r="A21" s="14" t="n">
        <v>18</v>
      </c>
      <c r="B21" s="15" t="s">
        <v>127</v>
      </c>
      <c r="C21" s="3" t="s">
        <v>128</v>
      </c>
      <c r="D21" s="16" t="n">
        <f aca="false">AVERAGEIF(Data!$D$2:$D$181,"Online",Data!$J$2:$J$181)</f>
        <v>452.371162790698</v>
      </c>
    </row>
    <row r="22" customFormat="false" ht="25.5" hidden="false" customHeight="true" outlineLevel="0" collapsed="false">
      <c r="A22" s="14" t="n">
        <v>19</v>
      </c>
      <c r="B22" s="15" t="s">
        <v>129</v>
      </c>
      <c r="C22" s="3" t="s">
        <v>128</v>
      </c>
      <c r="D22" s="16" t="n">
        <f aca="false">AVERAGEIF(Data!$E$2:$E$181,"Electronics",Data!$I$2:$I$181)</f>
        <v>121.765945945946</v>
      </c>
    </row>
    <row r="23" customFormat="false" ht="25.5" hidden="false" customHeight="true" outlineLevel="0" collapsed="false">
      <c r="A23" s="14" t="n">
        <v>20</v>
      </c>
      <c r="B23" s="15" t="s">
        <v>130</v>
      </c>
      <c r="C23" s="3" t="s">
        <v>131</v>
      </c>
      <c r="D23" s="16" t="n">
        <f aca="false">AVERAGEIFS(Data!$J$2:$J$181,Data!$E$2:$E$181,"Clothing",Data!$D$2:$D$181,"Online")</f>
        <v>371.325789473684</v>
      </c>
    </row>
    <row r="24" customFormat="false" ht="25.5" hidden="false" customHeight="true" outlineLevel="0" collapsed="false">
      <c r="A24" s="14" t="n">
        <v>21</v>
      </c>
      <c r="B24" s="15" t="s">
        <v>132</v>
      </c>
      <c r="C24" s="3" t="s">
        <v>131</v>
      </c>
      <c r="D24" s="16" t="n">
        <f aca="false">AVERAGEIFS(Data!$H$2:$H$181,Data!$E$2:$E$181,"Sports",Data!$C$2:$C$181,"North")</f>
        <v>7</v>
      </c>
    </row>
    <row r="25" customFormat="false" ht="25.5" hidden="false" customHeight="true" outlineLevel="0" collapsed="false">
      <c r="A25" s="14" t="n">
        <v>22</v>
      </c>
      <c r="B25" s="15" t="s">
        <v>133</v>
      </c>
      <c r="C25" s="3" t="s">
        <v>134</v>
      </c>
      <c r="D25" s="16" t="n">
        <f aca="false">_xlfn.STDEV.P(Data!$I$2:$I$181)</f>
        <v>47.7718009994222</v>
      </c>
    </row>
    <row r="26" customFormat="false" ht="25.5" hidden="false" customHeight="true" outlineLevel="0" collapsed="false">
      <c r="A26" s="14" t="n">
        <v>23</v>
      </c>
      <c r="B26" s="15" t="s">
        <v>135</v>
      </c>
      <c r="C26" s="3" t="s">
        <v>136</v>
      </c>
      <c r="D26" s="16" t="n">
        <f aca="false">_xlfn.STDEV.S(Data!$J$2:$J$181)</f>
        <v>420.040774296428</v>
      </c>
    </row>
    <row r="27" customFormat="false" ht="25.5" hidden="false" customHeight="true" outlineLevel="0" collapsed="false">
      <c r="A27" s="14" t="n">
        <v>24</v>
      </c>
      <c r="B27" s="15" t="s">
        <v>137</v>
      </c>
      <c r="C27" s="3" t="s">
        <v>138</v>
      </c>
      <c r="D27" s="16" t="n">
        <f aca="false">_xlfn.STDEV.P(Data!$H$2:$H$181)/AVERAGE(Data!$H$2:$H$181)</f>
        <v>0.515052316798614</v>
      </c>
    </row>
    <row r="28" customFormat="false" ht="15" hidden="false" customHeight="false" outlineLevel="0" collapsed="false">
      <c r="A28" s="17"/>
      <c r="B28" s="18" t="s">
        <v>139</v>
      </c>
      <c r="C28" s="3" t="s">
        <v>138</v>
      </c>
      <c r="D28" s="16" t="n">
        <f aca="false">_xlfn.STDEV.P(Data!$I$2:$I$181)/AVERAGE(Data!$I$2:$I$181)</f>
        <v>0.765779632691125</v>
      </c>
    </row>
    <row r="30" customFormat="false" ht="15" hidden="false" customHeight="false" outlineLevel="0" collapsed="false">
      <c r="A30" s="19" t="s">
        <v>140</v>
      </c>
      <c r="B30" s="19"/>
      <c r="C30" s="19"/>
      <c r="D30" s="19"/>
    </row>
    <row r="31" customFormat="false" ht="30" hidden="false" customHeight="true" outlineLevel="0" collapsed="false">
      <c r="A31" s="20" t="s">
        <v>141</v>
      </c>
      <c r="B31" s="20"/>
      <c r="C31" s="20"/>
      <c r="D31" s="20"/>
    </row>
    <row r="32" customFormat="false" ht="30" hidden="false" customHeight="true" outlineLevel="0" collapsed="false">
      <c r="A32" s="20" t="s">
        <v>142</v>
      </c>
      <c r="B32" s="20"/>
      <c r="C32" s="20"/>
      <c r="D32" s="20"/>
    </row>
    <row r="33" customFormat="false" ht="30" hidden="false" customHeight="true" outlineLevel="0" collapsed="false">
      <c r="A33" s="20" t="s">
        <v>143</v>
      </c>
      <c r="B33" s="20"/>
      <c r="C33" s="20"/>
      <c r="D33" s="20"/>
    </row>
    <row r="34" customFormat="false" ht="30" hidden="false" customHeight="true" outlineLevel="0" collapsed="false">
      <c r="A34" s="20" t="s">
        <v>144</v>
      </c>
      <c r="B34" s="20"/>
      <c r="C34" s="20"/>
      <c r="D34" s="20"/>
    </row>
    <row r="35" customFormat="false" ht="30" hidden="false" customHeight="true" outlineLevel="0" collapsed="false">
      <c r="A35" s="20" t="s">
        <v>145</v>
      </c>
      <c r="B35" s="20"/>
      <c r="C35" s="20"/>
      <c r="D35" s="20"/>
    </row>
  </sheetData>
  <mergeCells count="7">
    <mergeCell ref="A1:D1"/>
    <mergeCell ref="A30:D30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2026-05-21T14:13:54Z</dcterms:created>
  <dc:creator>openpyxl</dc:creator>
  <dc:description/>
  <dc:language>en-US</dc:language>
  <cp:lastModifiedBy/>
  <dcterms:modified xsi:type="dcterms:W3CDTF">2026-05-21T14:13:54Z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