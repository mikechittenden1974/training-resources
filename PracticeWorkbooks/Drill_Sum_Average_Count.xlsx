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arm-up" sheetId="2" state="visible" r:id="rId2"/>
    <sheet xmlns:r="http://schemas.openxmlformats.org/officeDocument/2006/relationships" name="Data" sheetId="3" state="visible" r:id="rId3"/>
    <sheet xmlns:r="http://schemas.openxmlformats.org/officeDocument/2006/relationships" name="Task 1 - COUNT" sheetId="4" state="visible" r:id="rId4"/>
    <sheet xmlns:r="http://schemas.openxmlformats.org/officeDocument/2006/relationships" name="Task 2 - COUNTIF" sheetId="5" state="visible" r:id="rId5"/>
    <sheet xmlns:r="http://schemas.openxmlformats.org/officeDocument/2006/relationships" name="Task 3 - SUM" sheetId="6" state="visible" r:id="rId6"/>
    <sheet xmlns:r="http://schemas.openxmlformats.org/officeDocument/2006/relationships" name="Task 4 - AVERAGE" sheetId="7" state="visible" r:id="rId7"/>
    <sheet xmlns:r="http://schemas.openxmlformats.org/officeDocument/2006/relationships" name="Understanding Spread" sheetId="8" state="visible" r:id="rId8"/>
    <sheet xmlns:r="http://schemas.openxmlformats.org/officeDocument/2006/relationships" name="Task 5 - STDEV" sheetId="9" state="visible" r:id="rId9"/>
    <sheet xmlns:r="http://schemas.openxmlformats.org/officeDocument/2006/relationships" name="Support" sheetId="10" state="visible" r:id="rId10"/>
    <sheet xmlns:r="http://schemas.openxmlformats.org/officeDocument/2006/relationships" name="Stretch" sheetId="11" state="visible" r:id="rId11"/>
    <sheet xmlns:r="http://schemas.openxmlformats.org/officeDocument/2006/relationships" name="Confidence" sheetId="12" state="visible" r:id="rId12"/>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b val="1"/>
      <color rgb="FFFFFFFF"/>
      <sz val="18"/>
    </font>
    <font>
      <color rgb="FFFFFFFF"/>
      <sz val="11"/>
    </font>
    <font>
      <sz val="11"/>
    </font>
    <font>
      <b val="1"/>
      <sz val="12"/>
    </font>
    <font>
      <b val="1"/>
      <color rgb="FF5B2A86"/>
      <sz val="11"/>
    </font>
    <font>
      <name val="Consolas"/>
      <b val="1"/>
      <sz val="10"/>
    </font>
    <font>
      <sz val="10.5"/>
    </font>
    <font>
      <b val="1"/>
      <color rgb="FFFFFFFF"/>
    </font>
    <font>
      <name val="Consolas"/>
      <sz val="9.5"/>
    </font>
    <font>
      <b val="1"/>
    </font>
    <font>
      <b val="1"/>
      <color rgb="FF548235"/>
      <sz val="13"/>
    </font>
    <font>
      <b val="1"/>
      <color rgb="FF5B2A86"/>
      <sz val="12"/>
    </font>
    <font>
      <name val="Calibri"/>
      <b val="1"/>
      <color rgb="FF5B2A86"/>
      <sz val="10"/>
    </font>
    <font>
      <name val="Calibri"/>
      <color rgb="FF000000"/>
      <sz val="11"/>
    </font>
    <font>
      <name val="Consolas"/>
      <color rgb="FF000000"/>
      <sz val="10.5"/>
    </font>
    <font>
      <name val="Calibri"/>
      <i val="1"/>
      <color rgb="FF000000"/>
      <sz val="10.5"/>
    </font>
    <font>
      <name val="Calibri"/>
      <b val="1"/>
      <color rgb="FFB00020"/>
      <sz val="10"/>
    </font>
    <font>
      <name val="Calibri"/>
      <color rgb="FF000000"/>
      <sz val="10.5"/>
    </font>
    <font>
      <name val="Calibri"/>
      <b val="1"/>
      <color rgb="FF5B2A86"/>
      <sz val="11"/>
    </font>
    <font>
      <name val="Consolas"/>
      <sz val="10.5"/>
    </font>
    <font>
      <b val="1"/>
      <color rgb="FF5B2A86"/>
      <sz val="10"/>
    </font>
    <font>
      <b val="1"/>
      <sz val="10"/>
    </font>
    <font>
      <i val="1"/>
      <color rgb="FF666666"/>
    </font>
    <font>
      <b val="1"/>
      <color rgb="FFB00020"/>
      <sz val="10"/>
    </font>
    <font>
      <name val="Consolas"/>
      <b val="1"/>
      <color rgb="FF5B2A86"/>
      <sz val="11"/>
    </font>
    <font>
      <name val="Calibri"/>
      <b val="1"/>
      <color rgb="FF5B2A86"/>
      <sz val="12"/>
    </font>
  </fonts>
  <fills count="8">
    <fill>
      <patternFill/>
    </fill>
    <fill>
      <patternFill patternType="gray125"/>
    </fill>
    <fill>
      <patternFill patternType="solid">
        <fgColor rgb="FF5B2A86"/>
      </patternFill>
    </fill>
    <fill>
      <patternFill patternType="solid">
        <fgColor rgb="FF8E5BB5"/>
      </patternFill>
    </fill>
    <fill>
      <patternFill patternType="solid">
        <fgColor rgb="FFF1E9F7"/>
      </patternFill>
    </fill>
    <fill>
      <patternFill patternType="solid">
        <fgColor rgb="FFFFF3C4"/>
      </patternFill>
    </fill>
    <fill>
      <patternFill patternType="solid">
        <fgColor rgb="FFEDE4F5"/>
      </patternFill>
    </fill>
    <fill>
      <patternFill patternType="solid">
        <fgColor rgb="FFFBE9E7"/>
      </patternFill>
    </fill>
  </fills>
  <borders count="2">
    <border>
      <left/>
      <right/>
      <top/>
      <bottom/>
      <diagonal/>
    </border>
    <border>
      <left style="thin">
        <color rgb="FFD9CCE6"/>
      </left>
      <right style="thin">
        <color rgb="FFD9CCE6"/>
      </right>
      <top style="thin">
        <color rgb="FFD9CCE6"/>
      </top>
      <bottom style="thin">
        <color rgb="FFD9CCE6"/>
      </bottom>
    </border>
  </borders>
  <cellStyleXfs count="1">
    <xf numFmtId="0" fontId="0" fillId="0" borderId="0"/>
  </cellStyleXfs>
  <cellXfs count="46">
    <xf numFmtId="0" fontId="0" fillId="0" borderId="0" pivotButton="0" quotePrefix="0" xfId="0"/>
    <xf numFmtId="0" fontId="1" fillId="2" borderId="0" pivotButton="0" quotePrefix="0" xfId="0"/>
    <xf numFmtId="0" fontId="0" fillId="2" borderId="0" pivotButton="0" quotePrefix="0" xfId="0"/>
    <xf numFmtId="0" fontId="2" fillId="3" borderId="0" pivotButton="0" quotePrefix="0" xfId="0"/>
    <xf numFmtId="0" fontId="0" fillId="3" borderId="0" pivotButton="0" quotePrefix="0" xfId="0"/>
    <xf numFmtId="0" fontId="3" fillId="0" borderId="0" applyAlignment="1" pivotButton="0" quotePrefix="0" xfId="0">
      <alignment vertical="top" wrapText="1"/>
    </xf>
    <xf numFmtId="0" fontId="4" fillId="4"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4" fillId="0" borderId="0" pivotButton="0" quotePrefix="0" xfId="0"/>
    <xf numFmtId="0" fontId="3" fillId="0" borderId="0" pivotButton="0" quotePrefix="0" xfId="0"/>
    <xf numFmtId="0" fontId="8" fillId="2" borderId="0" pivotButton="0" quotePrefix="0" xfId="0"/>
    <xf numFmtId="0" fontId="8" fillId="2" borderId="0" applyAlignment="1" pivotButton="0" quotePrefix="0" xfId="0">
      <alignment wrapText="1"/>
    </xf>
    <xf numFmtId="0" fontId="0" fillId="0" borderId="0" applyAlignment="1" pivotButton="0" quotePrefix="0" xfId="0">
      <alignment wrapText="1"/>
    </xf>
    <xf numFmtId="0" fontId="9" fillId="0" borderId="0" pivotButton="0" quotePrefix="0" xfId="0"/>
    <xf numFmtId="0" fontId="0" fillId="5" borderId="1" pivotButton="0" quotePrefix="0" xfId="0"/>
    <xf numFmtId="0" fontId="10" fillId="0" borderId="0" pivotButton="0" quotePrefix="0" xfId="0"/>
    <xf numFmtId="0" fontId="8" fillId="2" borderId="0" applyAlignment="1" pivotButton="0" quotePrefix="0" xfId="0">
      <alignment vertical="center" wrapText="1"/>
    </xf>
    <xf numFmtId="0" fontId="0" fillId="0" borderId="0" applyAlignment="1" pivotButton="0" quotePrefix="0" xfId="0">
      <alignment vertical="top" wrapText="1"/>
    </xf>
    <xf numFmtId="0" fontId="9" fillId="0" borderId="0" applyAlignment="1" pivotButton="0" quotePrefix="0" xfId="0">
      <alignment vertical="top" wrapText="1"/>
    </xf>
    <xf numFmtId="0" fontId="3" fillId="0" borderId="0" applyAlignment="1" pivotButton="0" quotePrefix="0" xfId="0">
      <alignment vertical="center" wrapText="1"/>
    </xf>
    <xf numFmtId="0" fontId="11" fillId="0" borderId="0" pivotButton="0" quotePrefix="0" xfId="0"/>
    <xf numFmtId="0" fontId="12" fillId="0" borderId="0" pivotButton="0" quotePrefix="0" xfId="0"/>
    <xf numFmtId="0" fontId="13" fillId="4" borderId="0" applyAlignment="1" pivotButton="0" quotePrefix="0" xfId="0">
      <alignment vertical="top" wrapText="1"/>
    </xf>
    <xf numFmtId="0" fontId="0" fillId="4" borderId="0" pivotButton="0" quotePrefix="0" xfId="0"/>
    <xf numFmtId="0" fontId="14" fillId="0" borderId="0" applyAlignment="1" pivotButton="0" quotePrefix="0" xfId="0">
      <alignment vertical="top" wrapText="1"/>
    </xf>
    <xf numFmtId="0" fontId="15" fillId="6" borderId="0" applyAlignment="1" pivotButton="0" quotePrefix="0" xfId="0">
      <alignment vertical="top" wrapText="1"/>
    </xf>
    <xf numFmtId="0" fontId="0" fillId="6" borderId="0" pivotButton="0" quotePrefix="0" xfId="0"/>
    <xf numFmtId="0" fontId="16" fillId="0" borderId="0" applyAlignment="1" pivotButton="0" quotePrefix="0" xfId="0">
      <alignment vertical="top" wrapText="1"/>
    </xf>
    <xf numFmtId="0" fontId="17" fillId="7" borderId="0" applyAlignment="1" pivotButton="0" quotePrefix="0" xfId="0">
      <alignment vertical="top" wrapText="1"/>
    </xf>
    <xf numFmtId="0" fontId="0" fillId="7" borderId="0" pivotButton="0" quotePrefix="0" xfId="0"/>
    <xf numFmtId="0" fontId="18" fillId="0" borderId="0" applyAlignment="1" pivotButton="0" quotePrefix="0" xfId="0">
      <alignment vertical="top" wrapText="1"/>
    </xf>
    <xf numFmtId="0" fontId="19" fillId="0" borderId="0" applyAlignment="1" pivotButton="0" quotePrefix="0" xfId="0">
      <alignment vertical="top" wrapText="1"/>
    </xf>
    <xf numFmtId="0" fontId="20" fillId="6" borderId="0" applyAlignment="1" pivotButton="0" quotePrefix="1" xfId="0">
      <alignment vertical="top" wrapText="1"/>
    </xf>
    <xf numFmtId="0" fontId="21" fillId="4" borderId="0" pivotButton="0" quotePrefix="0" xfId="0"/>
    <xf numFmtId="0" fontId="22" fillId="0" borderId="0" pivotButton="0" quotePrefix="0" xfId="0"/>
    <xf numFmtId="0" fontId="0" fillId="0" borderId="1" applyAlignment="1" pivotButton="0" quotePrefix="0" xfId="0">
      <alignment horizontal="center"/>
    </xf>
    <xf numFmtId="0" fontId="23" fillId="0" borderId="0" pivotButton="0" quotePrefix="0" xfId="0"/>
    <xf numFmtId="0" fontId="21" fillId="6" borderId="0" pivotButton="0" quotePrefix="0" xfId="0"/>
    <xf numFmtId="0" fontId="15" fillId="0" borderId="0" applyAlignment="1" pivotButton="0" quotePrefix="0" xfId="0">
      <alignment vertical="top" wrapText="1"/>
    </xf>
    <xf numFmtId="0" fontId="24" fillId="7" borderId="0" pivotButton="0" quotePrefix="0" xfId="0"/>
    <xf numFmtId="0" fontId="25" fillId="0" borderId="0" applyAlignment="1" pivotButton="0" quotePrefix="0" xfId="0">
      <alignment vertical="top" wrapText="1"/>
    </xf>
    <xf numFmtId="0" fontId="26" fillId="0" borderId="0" applyAlignment="1" pivotButton="0" quotePrefix="0" xfId="0">
      <alignment vertical="top" wrapText="1"/>
    </xf>
    <xf numFmtId="0" fontId="15" fillId="0" borderId="0" applyAlignment="1" pivotButton="0" quotePrefix="1" xfId="0">
      <alignment vertical="top" wrapText="1"/>
    </xf>
    <xf numFmtId="0" fontId="12" fillId="0" borderId="0" pivotButton="0" quotePrefix="1"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B2A86"/>
    <outlinePr summaryBelow="1" summaryRight="1"/>
    <pageSetUpPr fitToPage="1"/>
  </sheetPr>
  <dimension ref="A1:H18"/>
  <sheetViews>
    <sheetView workbookViewId="0">
      <selection activeCell="A1" sqref="A1"/>
    </sheetView>
  </sheetViews>
  <sheetFormatPr baseColWidth="8" defaultRowHeight="15"/>
  <cols>
    <col width="14" customWidth="1" min="1" max="1"/>
    <col width="24" customWidth="1" min="2" max="2"/>
    <col width="3" customWidth="1" min="3" max="3"/>
    <col width="13" customWidth="1" min="4" max="4"/>
    <col width="11" customWidth="1" min="5" max="5"/>
    <col width="11" customWidth="1" min="6" max="6"/>
    <col width="10" customWidth="1" min="7" max="7"/>
    <col width="6" customWidth="1" min="8" max="8"/>
  </cols>
  <sheetData>
    <row r="1" ht="26" customHeight="1">
      <c r="A1" s="1" t="inlineStr">
        <is>
          <t>Sum · Average · Count</t>
        </is>
      </c>
      <c r="B1" s="2" t="n"/>
      <c r="C1" s="2" t="n"/>
      <c r="D1" s="2" t="n"/>
      <c r="E1" s="2" t="n"/>
      <c r="F1" s="2" t="n"/>
      <c r="G1" s="2" t="n"/>
      <c r="H1" s="2" t="n"/>
    </row>
    <row r="2">
      <c r="A2" s="3" t="inlineStr">
        <is>
          <t>A focused drill on Excel's aggregate functions</t>
        </is>
      </c>
      <c r="B2" s="4" t="n"/>
      <c r="C2" s="4" t="n"/>
      <c r="D2" s="4" t="n"/>
      <c r="E2" s="4" t="n"/>
      <c r="F2" s="4" t="n"/>
      <c r="G2" s="4" t="n"/>
      <c r="H2" s="4" t="n"/>
    </row>
    <row r="4" ht="66" customHeight="1">
      <c r="A4" s="5" t="inlineStr">
        <is>
          <t>This is a standalone practice drill. By the end you'll be fluent in the functions that summarise data: counting rows, totalling and averaging columns, and adding conditions so you only count, total or average the rows that matter. Everything runs on one clean Retail Sales table of 180 orders. No prior modules needed — start here.</t>
        </is>
      </c>
    </row>
    <row r="6" ht="22" customHeight="1">
      <c r="A6" s="6" t="inlineStr">
        <is>
          <t>Three levels of every function</t>
        </is>
      </c>
    </row>
    <row r="8" ht="34" customHeight="1">
      <c r="A8" s="7" t="inlineStr">
        <is>
          <t>Plain</t>
        </is>
      </c>
      <c r="B8" s="8" t="inlineStr">
        <is>
          <t>COUNT · SUM · AVERAGE</t>
        </is>
      </c>
      <c r="D8" s="9" t="inlineStr">
        <is>
          <t>work on a whole column — =SUM(Revenue) totals every order.</t>
        </is>
      </c>
    </row>
    <row r="9" ht="34" customHeight="1">
      <c r="A9" s="7" t="inlineStr">
        <is>
          <t>+ one test</t>
        </is>
      </c>
      <c r="B9" s="8" t="inlineStr">
        <is>
          <t>COUNTIF · SUMIF · AVERAGEIF</t>
        </is>
      </c>
      <c r="D9" s="9" t="inlineStr">
        <is>
          <t>only rows that pass a test — =SUMIF(Channel,"Online",Revenue).</t>
        </is>
      </c>
    </row>
    <row r="10" ht="24" customHeight="1">
      <c r="A10" s="7" t="inlineStr">
        <is>
          <t>+ many tests</t>
        </is>
      </c>
      <c r="B10" s="8" t="inlineStr">
        <is>
          <t>COUNTIFS · SUMIFS · AVERAGEIFS</t>
        </is>
      </c>
      <c r="D10" s="9" t="inlineStr">
        <is>
          <t>two or more tests, all must be true.</t>
        </is>
      </c>
    </row>
    <row r="11" ht="24" customHeight="1">
      <c r="A11" s="7" t="inlineStr">
        <is>
          <t>Spread</t>
        </is>
      </c>
      <c r="B11" s="8" t="inlineStr">
        <is>
          <t>STDEV.P · STDEV.S</t>
        </is>
      </c>
      <c r="D11" s="9" t="inlineStr">
        <is>
          <t>how far values sit from the average.</t>
        </is>
      </c>
    </row>
    <row r="13">
      <c r="A13" s="10" t="inlineStr">
        <is>
          <t>How this drill works</t>
        </is>
      </c>
    </row>
    <row r="14" ht="21" customHeight="1">
      <c r="A14" s="11" t="inlineStr">
        <is>
          <t>•  Warm-up first — try each formula on a tiny 5-row table.</t>
        </is>
      </c>
    </row>
    <row r="15" ht="21" customHeight="1">
      <c r="A15" s="11" t="inlineStr">
        <is>
          <t>•  Then Tasks 1–5 on the real data, building from plain to multi-condition.</t>
        </is>
      </c>
    </row>
    <row r="16" ht="21" customHeight="1">
      <c r="A16" s="11" t="inlineStr">
        <is>
          <t>•  Type your formula in the amber cell — the Check column marks it ✓ or ✗ instantly.</t>
        </is>
      </c>
    </row>
    <row r="17" ht="21" customHeight="1">
      <c r="A17" s="11" t="inlineStr">
        <is>
          <t>•  Stuck? The Support tab is your glossary. Finished early? Try Stretch.</t>
        </is>
      </c>
    </row>
    <row r="18" ht="21" customHeight="1">
      <c r="A18" s="11" t="inlineStr">
        <is>
          <t>•  Tick the Confidence check when every box feels solid.</t>
        </is>
      </c>
    </row>
  </sheetData>
  <mergeCells count="11">
    <mergeCell ref="A18:H18"/>
    <mergeCell ref="A4:H4"/>
    <mergeCell ref="D8:H8"/>
    <mergeCell ref="A15:H15"/>
    <mergeCell ref="D10:H10"/>
    <mergeCell ref="A16:H16"/>
    <mergeCell ref="D11:H11"/>
    <mergeCell ref="A14:H14"/>
    <mergeCell ref="A6:H6"/>
    <mergeCell ref="D9:H9"/>
    <mergeCell ref="A17:H17"/>
  </mergeCells>
  <pageMargins left="0.75" right="0.75" top="1" bottom="1" header="0.5" footer="0.5"/>
  <pageSetup fitToHeight="0" fitToWidth="1"/>
</worksheet>
</file>

<file path=xl/worksheets/sheet2.xml><?xml version="1.0" encoding="utf-8"?>
<worksheet xmlns="http://schemas.openxmlformats.org/spreadsheetml/2006/main">
  <sheetPr>
    <tabColor rgb="FF8E5BB5"/>
    <outlinePr summaryBelow="1" summaryRight="1"/>
    <pageSetUpPr fitToPage="1"/>
  </sheetPr>
  <dimension ref="A1:H19"/>
  <sheetViews>
    <sheetView workbookViewId="0">
      <selection activeCell="A1" sqref="A1"/>
    </sheetView>
  </sheetViews>
  <sheetFormatPr baseColWidth="8" defaultRowHeight="15"/>
  <cols>
    <col width="2" customWidth="1" min="1" max="1"/>
    <col width="30" customWidth="1" min="2" max="2"/>
    <col width="2" customWidth="1" min="3" max="3"/>
    <col width="24" customWidth="1" min="4" max="4"/>
    <col width="2" customWidth="1" min="5" max="5"/>
    <col width="15" customWidth="1" min="6" max="6"/>
    <col width="13" customWidth="1" min="7" max="7"/>
    <col width="4" customWidth="1" min="8" max="8"/>
  </cols>
  <sheetData>
    <row r="1" ht="26" customHeight="1">
      <c r="A1" s="1" t="inlineStr">
        <is>
          <t>Warm-up</t>
        </is>
      </c>
      <c r="B1" s="2" t="n"/>
      <c r="C1" s="2" t="n"/>
      <c r="D1" s="2" t="n"/>
      <c r="E1" s="2" t="n"/>
      <c r="F1" s="2" t="n"/>
      <c r="G1" s="2" t="n"/>
      <c r="H1" s="2" t="n"/>
    </row>
    <row r="2">
      <c r="A2" s="3" t="inlineStr">
        <is>
          <t>Try each formula on 5 rows before the real data</t>
        </is>
      </c>
      <c r="B2" s="4" t="n"/>
      <c r="C2" s="4" t="n"/>
      <c r="D2" s="4" t="n"/>
      <c r="E2" s="4" t="n"/>
      <c r="F2" s="4" t="n"/>
      <c r="G2" s="4" t="n"/>
      <c r="H2" s="4" t="n"/>
    </row>
    <row r="4" ht="36" customHeight="1">
      <c r="A4" s="5" t="inlineStr">
        <is>
          <t>A Type column (B7:B11) and a Value column (C7:C11). Numbers are tiny so you can focus on the shape of each formula. Type your answer in the amber cells.</t>
        </is>
      </c>
    </row>
    <row r="6">
      <c r="B6" s="12" t="inlineStr">
        <is>
          <t>Type</t>
        </is>
      </c>
      <c r="C6" s="12" t="inlineStr">
        <is>
          <t>Value</t>
        </is>
      </c>
    </row>
    <row r="7">
      <c r="B7" t="inlineStr">
        <is>
          <t>A</t>
        </is>
      </c>
      <c r="C7" t="n">
        <v>10</v>
      </c>
    </row>
    <row r="8">
      <c r="B8" t="inlineStr">
        <is>
          <t>B</t>
        </is>
      </c>
      <c r="C8" t="n">
        <v>20</v>
      </c>
    </row>
    <row r="9">
      <c r="B9" t="inlineStr">
        <is>
          <t>A</t>
        </is>
      </c>
      <c r="C9" t="n">
        <v>30</v>
      </c>
    </row>
    <row r="10">
      <c r="B10" t="inlineStr">
        <is>
          <t>B</t>
        </is>
      </c>
      <c r="C10" t="n">
        <v>40</v>
      </c>
    </row>
    <row r="11">
      <c r="B11" t="inlineStr">
        <is>
          <t>A</t>
        </is>
      </c>
      <c r="C11" t="n">
        <v>50</v>
      </c>
    </row>
    <row r="14" ht="21" customHeight="1">
      <c r="B14" s="13" t="inlineStr">
        <is>
          <t>What to calculate</t>
        </is>
      </c>
      <c r="D14" s="13" t="inlineStr">
        <is>
          <t>Type this formula</t>
        </is>
      </c>
      <c r="F14" s="13" t="inlineStr">
        <is>
          <t>Your result</t>
        </is>
      </c>
      <c r="G14" s="13" t="inlineStr">
        <is>
          <t>Check</t>
        </is>
      </c>
    </row>
    <row r="15" ht="26" customHeight="1">
      <c r="B15" s="14" t="inlineStr">
        <is>
          <t>Count how many rows</t>
        </is>
      </c>
      <c r="D15" s="15" t="inlineStr">
        <is>
          <t>e.g.  =COUNT(C7:C11)</t>
        </is>
      </c>
      <c r="F15" s="16" t="n"/>
      <c r="G15" s="17">
        <f>IF(F15="","",IFERROR(IF(ABS(F15-5)&lt;0.01,"✓  Correct","✗  Try again"),"✗  Try again"))</f>
        <v/>
      </c>
    </row>
    <row r="16" ht="26" customHeight="1">
      <c r="B16" s="14" t="inlineStr">
        <is>
          <t>Count how many are Type A</t>
        </is>
      </c>
      <c r="D16" s="15" t="inlineStr">
        <is>
          <t>e.g.  =COUNTIF(B7:B11,"A")</t>
        </is>
      </c>
      <c r="F16" s="16" t="n"/>
      <c r="G16" s="17">
        <f>IF(F16="","",IFERROR(IF(ABS(F16-3)&lt;0.01,"✓  Correct","✗  Try again"),"✗  Try again"))</f>
        <v/>
      </c>
    </row>
    <row r="17" ht="26" customHeight="1">
      <c r="B17" s="14" t="inlineStr">
        <is>
          <t>Total of all Values</t>
        </is>
      </c>
      <c r="D17" s="15" t="inlineStr">
        <is>
          <t>e.g.  =SUM(C7:C11)</t>
        </is>
      </c>
      <c r="F17" s="16" t="n"/>
      <c r="G17" s="17">
        <f>IF(F17="","",IFERROR(IF(ABS(F17-150)&lt;0.01,"✓  Correct","✗  Try again"),"✗  Try again"))</f>
        <v/>
      </c>
    </row>
    <row r="18" ht="26" customHeight="1">
      <c r="B18" s="14" t="inlineStr">
        <is>
          <t>Total Value where Type = A</t>
        </is>
      </c>
      <c r="D18" s="15" t="inlineStr">
        <is>
          <t>e.g.  =SUMIF(B7:B11,"A",C7:C11)</t>
        </is>
      </c>
      <c r="F18" s="16" t="n"/>
      <c r="G18" s="17">
        <f>IF(F18="","",IFERROR(IF(ABS(F18-90)&lt;0.01,"✓  Correct","✗  Try again"),"✗  Try again"))</f>
        <v/>
      </c>
    </row>
    <row r="19" ht="26" customHeight="1">
      <c r="B19" s="14" t="inlineStr">
        <is>
          <t>Average Value where Type = B</t>
        </is>
      </c>
      <c r="D19" s="15" t="inlineStr">
        <is>
          <t>e.g.  =AVERAGEIF(B7:B11,"B",C7:C11)</t>
        </is>
      </c>
      <c r="F19" s="16" t="n"/>
      <c r="G19" s="17">
        <f>IF(F19="","",IFERROR(IF(ABS(F19-30)&lt;0.01,"✓  Correct","✗  Try again"),"✗  Try again"))</f>
        <v/>
      </c>
    </row>
  </sheetData>
  <mergeCells count="1">
    <mergeCell ref="A4:H4"/>
  </mergeCells>
  <pageMargins left="0.75" right="0.75" top="1" bottom="1" header="0.5" footer="0.5"/>
  <pageSetup fitToHeight="0" fitToWidth="1"/>
</worksheet>
</file>

<file path=xl/worksheets/sheet3.xml><?xml version="1.0" encoding="utf-8"?>
<worksheet xmlns="http://schemas.openxmlformats.org/spreadsheetml/2006/main">
  <sheetPr>
    <tabColor rgb="FF8B7E96"/>
    <outlinePr summaryBelow="1" summaryRight="1"/>
    <pageSetUpPr fitToPage="1"/>
  </sheetPr>
  <dimension ref="A1:J184"/>
  <sheetViews>
    <sheetView workbookViewId="0">
      <pane ySplit="4" topLeftCell="A5" activePane="bottomLeft" state="frozen"/>
      <selection pane="bottomLeft" activeCell="A1" sqref="A1"/>
    </sheetView>
  </sheetViews>
  <sheetFormatPr baseColWidth="8" defaultRowHeight="15"/>
  <cols>
    <col width="9" customWidth="1" min="1" max="1"/>
    <col width="8" customWidth="1" min="2" max="2"/>
    <col width="10" customWidth="1" min="3" max="3"/>
    <col width="10" customWidth="1" min="4" max="4"/>
    <col width="13" customWidth="1" min="5" max="5"/>
    <col width="16" customWidth="1" min="6" max="6"/>
    <col width="13" customWidth="1" min="7" max="7"/>
    <col width="9" customWidth="1" min="8" max="8"/>
    <col width="13" customWidth="1" min="9" max="9"/>
    <col width="12" customWidth="1" min="10" max="10"/>
  </cols>
  <sheetData>
    <row r="1" ht="26" customHeight="1">
      <c r="A1" s="1" t="inlineStr">
        <is>
          <t>Data — Retail Sales</t>
        </is>
      </c>
      <c r="B1" s="2" t="n"/>
      <c r="C1" s="2" t="n"/>
      <c r="D1" s="2" t="n"/>
      <c r="E1" s="2" t="n"/>
      <c r="F1" s="2" t="n"/>
      <c r="G1" s="2" t="n"/>
      <c r="H1" s="2" t="n"/>
    </row>
    <row r="2">
      <c r="A2" s="3" t="inlineStr">
        <is>
          <t>180 orders · the table every task uses</t>
        </is>
      </c>
      <c r="B2" s="4" t="n"/>
      <c r="C2" s="4" t="n"/>
      <c r="D2" s="4" t="n"/>
      <c r="E2" s="4" t="n"/>
      <c r="F2" s="4" t="n"/>
      <c r="G2" s="4" t="n"/>
      <c r="H2" s="4" t="n"/>
    </row>
    <row r="4">
      <c r="A4" s="12" t="inlineStr">
        <is>
          <t>Order ID</t>
        </is>
      </c>
      <c r="B4" s="12" t="inlineStr">
        <is>
          <t>Month</t>
        </is>
      </c>
      <c r="C4" s="12" t="inlineStr">
        <is>
          <t>Region</t>
        </is>
      </c>
      <c r="D4" s="12" t="inlineStr">
        <is>
          <t>Channel</t>
        </is>
      </c>
      <c r="E4" s="12" t="inlineStr">
        <is>
          <t>Category</t>
        </is>
      </c>
      <c r="F4" s="12" t="inlineStr">
        <is>
          <t>Product</t>
        </is>
      </c>
      <c r="G4" s="12" t="inlineStr">
        <is>
          <t>Salesperson</t>
        </is>
      </c>
      <c r="H4" s="12" t="inlineStr">
        <is>
          <t>Quantity</t>
        </is>
      </c>
      <c r="I4" s="12" t="inlineStr">
        <is>
          <t>Unit Price (£)</t>
        </is>
      </c>
      <c r="J4" s="12" t="inlineStr">
        <is>
          <t>Revenue (£)</t>
        </is>
      </c>
    </row>
    <row r="5">
      <c r="A5" t="n">
        <v>1001</v>
      </c>
      <c r="B5" t="inlineStr">
        <is>
          <t>Feb</t>
        </is>
      </c>
      <c r="C5" t="inlineStr">
        <is>
          <t>South</t>
        </is>
      </c>
      <c r="D5" t="inlineStr">
        <is>
          <t>Online</t>
        </is>
      </c>
      <c r="E5" t="inlineStr">
        <is>
          <t>Electronics</t>
        </is>
      </c>
      <c r="F5" t="inlineStr">
        <is>
          <t>Headphones</t>
        </is>
      </c>
      <c r="G5" t="inlineStr">
        <is>
          <t>Brown</t>
        </is>
      </c>
      <c r="H5" t="n">
        <v>4</v>
      </c>
      <c r="I5" t="n">
        <v>169.6</v>
      </c>
      <c r="J5" t="n">
        <v>678.4</v>
      </c>
    </row>
    <row r="6">
      <c r="A6" t="n">
        <v>1002</v>
      </c>
      <c r="B6" t="inlineStr">
        <is>
          <t>Feb</t>
        </is>
      </c>
      <c r="C6" t="inlineStr">
        <is>
          <t>South</t>
        </is>
      </c>
      <c r="D6" t="inlineStr">
        <is>
          <t>Online</t>
        </is>
      </c>
      <c r="E6" t="inlineStr">
        <is>
          <t>Sports</t>
        </is>
      </c>
      <c r="F6" t="inlineStr">
        <is>
          <t>Running Shoes</t>
        </is>
      </c>
      <c r="G6" t="inlineStr">
        <is>
          <t>Davies</t>
        </is>
      </c>
      <c r="H6" t="n">
        <v>2</v>
      </c>
      <c r="I6" t="n">
        <v>13.81</v>
      </c>
      <c r="J6" t="n">
        <v>27.62</v>
      </c>
    </row>
    <row r="7">
      <c r="A7" t="n">
        <v>1003</v>
      </c>
      <c r="B7" t="inlineStr">
        <is>
          <t>Mar</t>
        </is>
      </c>
      <c r="C7" t="inlineStr">
        <is>
          <t>North</t>
        </is>
      </c>
      <c r="D7" t="inlineStr">
        <is>
          <t>Online</t>
        </is>
      </c>
      <c r="E7" t="inlineStr">
        <is>
          <t>Sports</t>
        </is>
      </c>
      <c r="F7" t="inlineStr">
        <is>
          <t>Running Shoes</t>
        </is>
      </c>
      <c r="G7" t="inlineStr">
        <is>
          <t>Gupta</t>
        </is>
      </c>
      <c r="H7" t="n">
        <v>10</v>
      </c>
      <c r="I7" t="n">
        <v>36.45</v>
      </c>
      <c r="J7" t="n">
        <v>364.5</v>
      </c>
    </row>
    <row r="8">
      <c r="A8" t="n">
        <v>1004</v>
      </c>
      <c r="B8" t="inlineStr">
        <is>
          <t>Jan</t>
        </is>
      </c>
      <c r="C8" t="inlineStr">
        <is>
          <t>North</t>
        </is>
      </c>
      <c r="D8" t="inlineStr">
        <is>
          <t>In-Store</t>
        </is>
      </c>
      <c r="E8" t="inlineStr">
        <is>
          <t>Home</t>
        </is>
      </c>
      <c r="F8" t="inlineStr">
        <is>
          <t>Mug Set</t>
        </is>
      </c>
      <c r="G8" t="inlineStr">
        <is>
          <t>Brown</t>
        </is>
      </c>
      <c r="H8" t="n">
        <v>6</v>
      </c>
      <c r="I8" t="n">
        <v>17.64</v>
      </c>
      <c r="J8" t="n">
        <v>105.84</v>
      </c>
    </row>
    <row r="9">
      <c r="A9" t="n">
        <v>1005</v>
      </c>
      <c r="B9" t="inlineStr">
        <is>
          <t>Jun</t>
        </is>
      </c>
      <c r="C9" t="inlineStr">
        <is>
          <t>West</t>
        </is>
      </c>
      <c r="D9" t="inlineStr">
        <is>
          <t>Online</t>
        </is>
      </c>
      <c r="E9" t="inlineStr">
        <is>
          <t>Home</t>
        </is>
      </c>
      <c r="F9" t="inlineStr">
        <is>
          <t>Mug Set</t>
        </is>
      </c>
      <c r="G9" t="inlineStr">
        <is>
          <t>Gupta</t>
        </is>
      </c>
      <c r="H9" t="n">
        <v>1</v>
      </c>
      <c r="I9" t="n">
        <v>45.43</v>
      </c>
      <c r="J9" t="n">
        <v>45.43</v>
      </c>
    </row>
    <row r="10">
      <c r="A10" t="n">
        <v>1006</v>
      </c>
      <c r="B10" t="inlineStr">
        <is>
          <t>Mar</t>
        </is>
      </c>
      <c r="C10" t="inlineStr">
        <is>
          <t>South</t>
        </is>
      </c>
      <c r="D10" t="inlineStr">
        <is>
          <t>Online</t>
        </is>
      </c>
      <c r="E10" t="inlineStr">
        <is>
          <t>Electronics</t>
        </is>
      </c>
      <c r="F10" t="inlineStr">
        <is>
          <t>Tablet</t>
        </is>
      </c>
      <c r="G10" t="inlineStr">
        <is>
          <t>Adams</t>
        </is>
      </c>
      <c r="H10" t="n">
        <v>10</v>
      </c>
      <c r="I10" t="n">
        <v>186.73</v>
      </c>
      <c r="J10" t="n">
        <v>1867.3</v>
      </c>
    </row>
    <row r="11">
      <c r="A11" t="n">
        <v>1007</v>
      </c>
      <c r="B11" t="inlineStr">
        <is>
          <t>Jan</t>
        </is>
      </c>
      <c r="C11" t="inlineStr">
        <is>
          <t>West</t>
        </is>
      </c>
      <c r="D11" t="inlineStr">
        <is>
          <t>In-Store</t>
        </is>
      </c>
      <c r="E11" t="inlineStr">
        <is>
          <t>Clothing</t>
        </is>
      </c>
      <c r="F11" t="inlineStr">
        <is>
          <t>Jeans</t>
        </is>
      </c>
      <c r="G11" t="inlineStr">
        <is>
          <t>Hughes</t>
        </is>
      </c>
      <c r="H11" t="n">
        <v>4</v>
      </c>
      <c r="I11" t="n">
        <v>93.77</v>
      </c>
      <c r="J11" t="n">
        <v>375.08</v>
      </c>
    </row>
    <row r="12">
      <c r="A12" t="n">
        <v>1008</v>
      </c>
      <c r="B12" t="inlineStr">
        <is>
          <t>Jun</t>
        </is>
      </c>
      <c r="C12" t="inlineStr">
        <is>
          <t>East</t>
        </is>
      </c>
      <c r="D12" t="inlineStr">
        <is>
          <t>Online</t>
        </is>
      </c>
      <c r="E12" t="inlineStr">
        <is>
          <t>Home</t>
        </is>
      </c>
      <c r="F12" t="inlineStr">
        <is>
          <t>Cushion</t>
        </is>
      </c>
      <c r="G12" t="inlineStr">
        <is>
          <t>Chen</t>
        </is>
      </c>
      <c r="H12" t="n">
        <v>4</v>
      </c>
      <c r="I12" t="n">
        <v>30.95</v>
      </c>
      <c r="J12" t="n">
        <v>123.8</v>
      </c>
    </row>
    <row r="13">
      <c r="A13" t="n">
        <v>1009</v>
      </c>
      <c r="B13" t="inlineStr">
        <is>
          <t>Mar</t>
        </is>
      </c>
      <c r="C13" t="inlineStr">
        <is>
          <t>South</t>
        </is>
      </c>
      <c r="D13" t="inlineStr">
        <is>
          <t>In-Store</t>
        </is>
      </c>
      <c r="E13" t="inlineStr">
        <is>
          <t>Sports</t>
        </is>
      </c>
      <c r="F13" t="inlineStr">
        <is>
          <t>Dumbbells</t>
        </is>
      </c>
      <c r="G13" t="inlineStr">
        <is>
          <t>Adams</t>
        </is>
      </c>
      <c r="H13" t="n">
        <v>7</v>
      </c>
      <c r="I13" t="n">
        <v>29.61</v>
      </c>
      <c r="J13" t="n">
        <v>207.27</v>
      </c>
    </row>
    <row r="14">
      <c r="A14" t="n">
        <v>1010</v>
      </c>
      <c r="B14" t="inlineStr">
        <is>
          <t>Mar</t>
        </is>
      </c>
      <c r="C14" t="inlineStr">
        <is>
          <t>North</t>
        </is>
      </c>
      <c r="D14" t="inlineStr">
        <is>
          <t>Online</t>
        </is>
      </c>
      <c r="E14" t="inlineStr">
        <is>
          <t>Clothing</t>
        </is>
      </c>
      <c r="F14" t="inlineStr">
        <is>
          <t>T-Shirt</t>
        </is>
      </c>
      <c r="G14" t="inlineStr">
        <is>
          <t>Flores</t>
        </is>
      </c>
      <c r="H14" t="n">
        <v>7</v>
      </c>
      <c r="I14" t="n">
        <v>78.81999999999999</v>
      </c>
      <c r="J14" t="n">
        <v>551.74</v>
      </c>
    </row>
    <row r="15">
      <c r="A15" t="n">
        <v>1011</v>
      </c>
      <c r="B15" t="inlineStr">
        <is>
          <t>Apr</t>
        </is>
      </c>
      <c r="C15" t="inlineStr">
        <is>
          <t>South</t>
        </is>
      </c>
      <c r="D15" t="inlineStr">
        <is>
          <t>In-Store</t>
        </is>
      </c>
      <c r="E15" t="inlineStr">
        <is>
          <t>Clothing</t>
        </is>
      </c>
      <c r="F15" t="inlineStr">
        <is>
          <t>Trainers</t>
        </is>
      </c>
      <c r="G15" t="inlineStr">
        <is>
          <t>Chen</t>
        </is>
      </c>
      <c r="H15" t="n">
        <v>11</v>
      </c>
      <c r="I15" t="n">
        <v>44.84</v>
      </c>
      <c r="J15" t="n">
        <v>493.24</v>
      </c>
    </row>
    <row r="16">
      <c r="A16" t="n">
        <v>1012</v>
      </c>
      <c r="B16" t="inlineStr">
        <is>
          <t>May</t>
        </is>
      </c>
      <c r="C16" t="inlineStr">
        <is>
          <t>West</t>
        </is>
      </c>
      <c r="D16" t="inlineStr">
        <is>
          <t>In-Store</t>
        </is>
      </c>
      <c r="E16" t="inlineStr">
        <is>
          <t>Clothing</t>
        </is>
      </c>
      <c r="F16" t="inlineStr">
        <is>
          <t>Jeans</t>
        </is>
      </c>
      <c r="G16" t="inlineStr">
        <is>
          <t>Davies</t>
        </is>
      </c>
      <c r="H16" t="n">
        <v>7</v>
      </c>
      <c r="I16" t="n">
        <v>74</v>
      </c>
      <c r="J16" t="n">
        <v>518</v>
      </c>
    </row>
    <row r="17">
      <c r="A17" t="n">
        <v>1013</v>
      </c>
      <c r="B17" t="inlineStr">
        <is>
          <t>Jan</t>
        </is>
      </c>
      <c r="C17" t="inlineStr">
        <is>
          <t>South</t>
        </is>
      </c>
      <c r="D17" t="inlineStr">
        <is>
          <t>Online</t>
        </is>
      </c>
      <c r="E17" t="inlineStr">
        <is>
          <t>Clothing</t>
        </is>
      </c>
      <c r="F17" t="inlineStr">
        <is>
          <t>Trainers</t>
        </is>
      </c>
      <c r="G17" t="inlineStr">
        <is>
          <t>Gupta</t>
        </is>
      </c>
      <c r="H17" t="n">
        <v>1</v>
      </c>
      <c r="I17" t="n">
        <v>19.55</v>
      </c>
      <c r="J17" t="n">
        <v>19.55</v>
      </c>
    </row>
    <row r="18">
      <c r="A18" t="n">
        <v>1014</v>
      </c>
      <c r="B18" t="inlineStr">
        <is>
          <t>Apr</t>
        </is>
      </c>
      <c r="C18" t="inlineStr">
        <is>
          <t>East</t>
        </is>
      </c>
      <c r="D18" t="inlineStr">
        <is>
          <t>Online</t>
        </is>
      </c>
      <c r="E18" t="inlineStr">
        <is>
          <t>Sports</t>
        </is>
      </c>
      <c r="F18" t="inlineStr">
        <is>
          <t>Yoga Mat</t>
        </is>
      </c>
      <c r="G18" t="inlineStr">
        <is>
          <t>Brown</t>
        </is>
      </c>
      <c r="H18" t="n">
        <v>10</v>
      </c>
      <c r="I18" t="n">
        <v>56.17</v>
      </c>
      <c r="J18" t="n">
        <v>561.7</v>
      </c>
    </row>
    <row r="19">
      <c r="A19" t="n">
        <v>1015</v>
      </c>
      <c r="B19" t="inlineStr">
        <is>
          <t>Jan</t>
        </is>
      </c>
      <c r="C19" t="inlineStr">
        <is>
          <t>East</t>
        </is>
      </c>
      <c r="D19" t="inlineStr">
        <is>
          <t>In-Store</t>
        </is>
      </c>
      <c r="E19" t="inlineStr">
        <is>
          <t>Sports</t>
        </is>
      </c>
      <c r="F19" t="inlineStr">
        <is>
          <t>Water Bottle</t>
        </is>
      </c>
      <c r="G19" t="inlineStr">
        <is>
          <t>Chen</t>
        </is>
      </c>
      <c r="H19" t="n">
        <v>6</v>
      </c>
      <c r="I19" t="n">
        <v>102.23</v>
      </c>
      <c r="J19" t="n">
        <v>613.38</v>
      </c>
    </row>
    <row r="20">
      <c r="A20" t="n">
        <v>1016</v>
      </c>
      <c r="B20" t="inlineStr">
        <is>
          <t>Mar</t>
        </is>
      </c>
      <c r="C20" t="inlineStr">
        <is>
          <t>South</t>
        </is>
      </c>
      <c r="D20" t="inlineStr">
        <is>
          <t>Online</t>
        </is>
      </c>
      <c r="E20" t="inlineStr">
        <is>
          <t>Toys</t>
        </is>
      </c>
      <c r="F20" t="inlineStr">
        <is>
          <t>Puzzle</t>
        </is>
      </c>
      <c r="G20" t="inlineStr">
        <is>
          <t>Evans</t>
        </is>
      </c>
      <c r="H20" t="n">
        <v>12</v>
      </c>
      <c r="I20" t="n">
        <v>43.2</v>
      </c>
      <c r="J20" t="n">
        <v>518.4</v>
      </c>
    </row>
    <row r="21">
      <c r="A21" t="n">
        <v>1017</v>
      </c>
      <c r="B21" t="inlineStr">
        <is>
          <t>May</t>
        </is>
      </c>
      <c r="C21" t="inlineStr">
        <is>
          <t>North</t>
        </is>
      </c>
      <c r="D21" t="inlineStr">
        <is>
          <t>In-Store</t>
        </is>
      </c>
      <c r="E21" t="inlineStr">
        <is>
          <t>Sports</t>
        </is>
      </c>
      <c r="F21" t="inlineStr">
        <is>
          <t>Dumbbells</t>
        </is>
      </c>
      <c r="G21" t="inlineStr">
        <is>
          <t>Hughes</t>
        </is>
      </c>
      <c r="H21" t="n">
        <v>3</v>
      </c>
      <c r="I21" t="n">
        <v>28.34</v>
      </c>
      <c r="J21" t="n">
        <v>85.02</v>
      </c>
    </row>
    <row r="22">
      <c r="A22" t="n">
        <v>1018</v>
      </c>
      <c r="B22" t="inlineStr">
        <is>
          <t>Feb</t>
        </is>
      </c>
      <c r="C22" t="inlineStr">
        <is>
          <t>North</t>
        </is>
      </c>
      <c r="D22" t="inlineStr">
        <is>
          <t>Online</t>
        </is>
      </c>
      <c r="E22" t="inlineStr">
        <is>
          <t>Electronics</t>
        </is>
      </c>
      <c r="F22" t="inlineStr">
        <is>
          <t>Headphones</t>
        </is>
      </c>
      <c r="G22" t="inlineStr">
        <is>
          <t>Brown</t>
        </is>
      </c>
      <c r="H22" t="n">
        <v>5</v>
      </c>
      <c r="I22" t="n">
        <v>206.17</v>
      </c>
      <c r="J22" t="n">
        <v>1030.85</v>
      </c>
    </row>
    <row r="23">
      <c r="A23" t="n">
        <v>1019</v>
      </c>
      <c r="B23" t="inlineStr">
        <is>
          <t>Feb</t>
        </is>
      </c>
      <c r="C23" t="inlineStr">
        <is>
          <t>South</t>
        </is>
      </c>
      <c r="D23" t="inlineStr">
        <is>
          <t>In-Store</t>
        </is>
      </c>
      <c r="E23" t="inlineStr">
        <is>
          <t>Electronics</t>
        </is>
      </c>
      <c r="F23" t="inlineStr">
        <is>
          <t>Charger</t>
        </is>
      </c>
      <c r="G23" t="inlineStr">
        <is>
          <t>Chen</t>
        </is>
      </c>
      <c r="H23" t="n">
        <v>9</v>
      </c>
      <c r="I23" t="n">
        <v>184.12</v>
      </c>
      <c r="J23" t="n">
        <v>1657.08</v>
      </c>
    </row>
    <row r="24">
      <c r="A24" t="n">
        <v>1020</v>
      </c>
      <c r="B24" t="inlineStr">
        <is>
          <t>Jun</t>
        </is>
      </c>
      <c r="C24" t="inlineStr">
        <is>
          <t>South</t>
        </is>
      </c>
      <c r="D24" t="inlineStr">
        <is>
          <t>In-Store</t>
        </is>
      </c>
      <c r="E24" t="inlineStr">
        <is>
          <t>Home</t>
        </is>
      </c>
      <c r="F24" t="inlineStr">
        <is>
          <t>Throw</t>
        </is>
      </c>
      <c r="G24" t="inlineStr">
        <is>
          <t>Gupta</t>
        </is>
      </c>
      <c r="H24" t="n">
        <v>9</v>
      </c>
      <c r="I24" t="n">
        <v>67.79000000000001</v>
      </c>
      <c r="J24" t="n">
        <v>610.11</v>
      </c>
    </row>
    <row r="25">
      <c r="A25" t="n">
        <v>1021</v>
      </c>
      <c r="B25" t="inlineStr">
        <is>
          <t>Jan</t>
        </is>
      </c>
      <c r="C25" t="inlineStr">
        <is>
          <t>South</t>
        </is>
      </c>
      <c r="D25" t="inlineStr">
        <is>
          <t>Online</t>
        </is>
      </c>
      <c r="E25" t="inlineStr">
        <is>
          <t>Home</t>
        </is>
      </c>
      <c r="F25" t="inlineStr">
        <is>
          <t>Throw</t>
        </is>
      </c>
      <c r="G25" t="inlineStr">
        <is>
          <t>Brown</t>
        </is>
      </c>
      <c r="H25" t="n">
        <v>8</v>
      </c>
      <c r="I25" t="n">
        <v>63.78</v>
      </c>
      <c r="J25" t="n">
        <v>510.24</v>
      </c>
    </row>
    <row r="26">
      <c r="A26" t="n">
        <v>1022</v>
      </c>
      <c r="B26" t="inlineStr">
        <is>
          <t>May</t>
        </is>
      </c>
      <c r="C26" t="inlineStr">
        <is>
          <t>South</t>
        </is>
      </c>
      <c r="D26" t="inlineStr">
        <is>
          <t>Online</t>
        </is>
      </c>
      <c r="E26" t="inlineStr">
        <is>
          <t>Home</t>
        </is>
      </c>
      <c r="F26" t="inlineStr">
        <is>
          <t>Lamp</t>
        </is>
      </c>
      <c r="G26" t="inlineStr">
        <is>
          <t>Brown</t>
        </is>
      </c>
      <c r="H26" t="n">
        <v>4</v>
      </c>
      <c r="I26" t="n">
        <v>44.48</v>
      </c>
      <c r="J26" t="n">
        <v>177.92</v>
      </c>
    </row>
    <row r="27">
      <c r="A27" t="n">
        <v>1023</v>
      </c>
      <c r="B27" t="inlineStr">
        <is>
          <t>Mar</t>
        </is>
      </c>
      <c r="C27" t="inlineStr">
        <is>
          <t>North</t>
        </is>
      </c>
      <c r="D27" t="inlineStr">
        <is>
          <t>Online</t>
        </is>
      </c>
      <c r="E27" t="inlineStr">
        <is>
          <t>Electronics</t>
        </is>
      </c>
      <c r="F27" t="inlineStr">
        <is>
          <t>Smart Speaker</t>
        </is>
      </c>
      <c r="G27" t="inlineStr">
        <is>
          <t>Evans</t>
        </is>
      </c>
      <c r="H27" t="n">
        <v>1</v>
      </c>
      <c r="I27" t="n">
        <v>38.14</v>
      </c>
      <c r="J27" t="n">
        <v>38.14</v>
      </c>
    </row>
    <row r="28">
      <c r="A28" t="n">
        <v>1024</v>
      </c>
      <c r="B28" t="inlineStr">
        <is>
          <t>May</t>
        </is>
      </c>
      <c r="C28" t="inlineStr">
        <is>
          <t>West</t>
        </is>
      </c>
      <c r="D28" t="inlineStr">
        <is>
          <t>Online</t>
        </is>
      </c>
      <c r="E28" t="inlineStr">
        <is>
          <t>Toys</t>
        </is>
      </c>
      <c r="F28" t="inlineStr">
        <is>
          <t>Action Figure</t>
        </is>
      </c>
      <c r="G28" t="inlineStr">
        <is>
          <t>Hughes</t>
        </is>
      </c>
      <c r="H28" t="n">
        <v>12</v>
      </c>
      <c r="I28" t="n">
        <v>27.03</v>
      </c>
      <c r="J28" t="n">
        <v>324.36</v>
      </c>
    </row>
    <row r="29">
      <c r="A29" t="n">
        <v>1025</v>
      </c>
      <c r="B29" t="inlineStr">
        <is>
          <t>Apr</t>
        </is>
      </c>
      <c r="C29" t="inlineStr">
        <is>
          <t>East</t>
        </is>
      </c>
      <c r="D29" t="inlineStr">
        <is>
          <t>In-Store</t>
        </is>
      </c>
      <c r="E29" t="inlineStr">
        <is>
          <t>Toys</t>
        </is>
      </c>
      <c r="F29" t="inlineStr">
        <is>
          <t>Action Figure</t>
        </is>
      </c>
      <c r="G29" t="inlineStr">
        <is>
          <t>Gupta</t>
        </is>
      </c>
      <c r="H29" t="n">
        <v>11</v>
      </c>
      <c r="I29" t="n">
        <v>9.68</v>
      </c>
      <c r="J29" t="n">
        <v>106.48</v>
      </c>
    </row>
    <row r="30">
      <c r="A30" t="n">
        <v>1026</v>
      </c>
      <c r="B30" t="inlineStr">
        <is>
          <t>Jan</t>
        </is>
      </c>
      <c r="C30" t="inlineStr">
        <is>
          <t>North</t>
        </is>
      </c>
      <c r="D30" t="inlineStr">
        <is>
          <t>In-Store</t>
        </is>
      </c>
      <c r="E30" t="inlineStr">
        <is>
          <t>Toys</t>
        </is>
      </c>
      <c r="F30" t="inlineStr">
        <is>
          <t>Puzzle</t>
        </is>
      </c>
      <c r="G30" t="inlineStr">
        <is>
          <t>Flores</t>
        </is>
      </c>
      <c r="H30" t="n">
        <v>11</v>
      </c>
      <c r="I30" t="n">
        <v>32.26</v>
      </c>
      <c r="J30" t="n">
        <v>354.86</v>
      </c>
    </row>
    <row r="31">
      <c r="A31" t="n">
        <v>1027</v>
      </c>
      <c r="B31" t="inlineStr">
        <is>
          <t>Apr</t>
        </is>
      </c>
      <c r="C31" t="inlineStr">
        <is>
          <t>South</t>
        </is>
      </c>
      <c r="D31" t="inlineStr">
        <is>
          <t>In-Store</t>
        </is>
      </c>
      <c r="E31" t="inlineStr">
        <is>
          <t>Electronics</t>
        </is>
      </c>
      <c r="F31" t="inlineStr">
        <is>
          <t>Smart Speaker</t>
        </is>
      </c>
      <c r="G31" t="inlineStr">
        <is>
          <t>Chen</t>
        </is>
      </c>
      <c r="H31" t="n">
        <v>9</v>
      </c>
      <c r="I31" t="n">
        <v>62.36</v>
      </c>
      <c r="J31" t="n">
        <v>561.24</v>
      </c>
    </row>
    <row r="32">
      <c r="A32" t="n">
        <v>1028</v>
      </c>
      <c r="B32" t="inlineStr">
        <is>
          <t>Apr</t>
        </is>
      </c>
      <c r="C32" t="inlineStr">
        <is>
          <t>North</t>
        </is>
      </c>
      <c r="D32" t="inlineStr">
        <is>
          <t>Online</t>
        </is>
      </c>
      <c r="E32" t="inlineStr">
        <is>
          <t>Home</t>
        </is>
      </c>
      <c r="F32" t="inlineStr">
        <is>
          <t>Throw</t>
        </is>
      </c>
      <c r="G32" t="inlineStr">
        <is>
          <t>Adams</t>
        </is>
      </c>
      <c r="H32" t="n">
        <v>2</v>
      </c>
      <c r="I32" t="n">
        <v>23.49</v>
      </c>
      <c r="J32" t="n">
        <v>46.98</v>
      </c>
    </row>
    <row r="33">
      <c r="A33" t="n">
        <v>1029</v>
      </c>
      <c r="B33" t="inlineStr">
        <is>
          <t>Apr</t>
        </is>
      </c>
      <c r="C33" t="inlineStr">
        <is>
          <t>South</t>
        </is>
      </c>
      <c r="D33" t="inlineStr">
        <is>
          <t>In-Store</t>
        </is>
      </c>
      <c r="E33" t="inlineStr">
        <is>
          <t>Electronics</t>
        </is>
      </c>
      <c r="F33" t="inlineStr">
        <is>
          <t>Smart Speaker</t>
        </is>
      </c>
      <c r="G33" t="inlineStr">
        <is>
          <t>Adams</t>
        </is>
      </c>
      <c r="H33" t="n">
        <v>8</v>
      </c>
      <c r="I33" t="n">
        <v>57.43</v>
      </c>
      <c r="J33" t="n">
        <v>459.44</v>
      </c>
    </row>
    <row r="34">
      <c r="A34" t="n">
        <v>1030</v>
      </c>
      <c r="B34" t="inlineStr">
        <is>
          <t>Mar</t>
        </is>
      </c>
      <c r="C34" t="inlineStr">
        <is>
          <t>West</t>
        </is>
      </c>
      <c r="D34" t="inlineStr">
        <is>
          <t>In-Store</t>
        </is>
      </c>
      <c r="E34" t="inlineStr">
        <is>
          <t>Clothing</t>
        </is>
      </c>
      <c r="F34" t="inlineStr">
        <is>
          <t>Trainers</t>
        </is>
      </c>
      <c r="G34" t="inlineStr">
        <is>
          <t>Gupta</t>
        </is>
      </c>
      <c r="H34" t="n">
        <v>7</v>
      </c>
      <c r="I34" t="n">
        <v>12.18</v>
      </c>
      <c r="J34" t="n">
        <v>85.26000000000001</v>
      </c>
    </row>
    <row r="35">
      <c r="A35" t="n">
        <v>1031</v>
      </c>
      <c r="B35" t="inlineStr">
        <is>
          <t>Feb</t>
        </is>
      </c>
      <c r="C35" t="inlineStr">
        <is>
          <t>North</t>
        </is>
      </c>
      <c r="D35" t="inlineStr">
        <is>
          <t>Online</t>
        </is>
      </c>
      <c r="E35" t="inlineStr">
        <is>
          <t>Sports</t>
        </is>
      </c>
      <c r="F35" t="inlineStr">
        <is>
          <t>Running Shoes</t>
        </is>
      </c>
      <c r="G35" t="inlineStr">
        <is>
          <t>Flores</t>
        </is>
      </c>
      <c r="H35" t="n">
        <v>5</v>
      </c>
      <c r="I35" t="n">
        <v>28.58</v>
      </c>
      <c r="J35" t="n">
        <v>142.9</v>
      </c>
    </row>
    <row r="36">
      <c r="A36" t="n">
        <v>1032</v>
      </c>
      <c r="B36" t="inlineStr">
        <is>
          <t>May</t>
        </is>
      </c>
      <c r="C36" t="inlineStr">
        <is>
          <t>South</t>
        </is>
      </c>
      <c r="D36" t="inlineStr">
        <is>
          <t>Online</t>
        </is>
      </c>
      <c r="E36" t="inlineStr">
        <is>
          <t>Electronics</t>
        </is>
      </c>
      <c r="F36" t="inlineStr">
        <is>
          <t>Headphones</t>
        </is>
      </c>
      <c r="G36" t="inlineStr">
        <is>
          <t>Brown</t>
        </is>
      </c>
      <c r="H36" t="n">
        <v>9</v>
      </c>
      <c r="I36" t="n">
        <v>138.91</v>
      </c>
      <c r="J36" t="n">
        <v>1250.19</v>
      </c>
    </row>
    <row r="37">
      <c r="A37" t="n">
        <v>1033</v>
      </c>
      <c r="B37" t="inlineStr">
        <is>
          <t>Feb</t>
        </is>
      </c>
      <c r="C37" t="inlineStr">
        <is>
          <t>West</t>
        </is>
      </c>
      <c r="D37" t="inlineStr">
        <is>
          <t>Online</t>
        </is>
      </c>
      <c r="E37" t="inlineStr">
        <is>
          <t>Clothing</t>
        </is>
      </c>
      <c r="F37" t="inlineStr">
        <is>
          <t>T-Shirt</t>
        </is>
      </c>
      <c r="G37" t="inlineStr">
        <is>
          <t>Davies</t>
        </is>
      </c>
      <c r="H37" t="n">
        <v>11</v>
      </c>
      <c r="I37" t="n">
        <v>61.39</v>
      </c>
      <c r="J37" t="n">
        <v>675.29</v>
      </c>
    </row>
    <row r="38">
      <c r="A38" t="n">
        <v>1034</v>
      </c>
      <c r="B38" t="inlineStr">
        <is>
          <t>Jun</t>
        </is>
      </c>
      <c r="C38" t="inlineStr">
        <is>
          <t>East</t>
        </is>
      </c>
      <c r="D38" t="inlineStr">
        <is>
          <t>In-Store</t>
        </is>
      </c>
      <c r="E38" t="inlineStr">
        <is>
          <t>Sports</t>
        </is>
      </c>
      <c r="F38" t="inlineStr">
        <is>
          <t>Yoga Mat</t>
        </is>
      </c>
      <c r="G38" t="inlineStr">
        <is>
          <t>Davies</t>
        </is>
      </c>
      <c r="H38" t="n">
        <v>7</v>
      </c>
      <c r="I38" t="n">
        <v>84.33</v>
      </c>
      <c r="J38" t="n">
        <v>590.3099999999999</v>
      </c>
    </row>
    <row r="39">
      <c r="A39" t="n">
        <v>1035</v>
      </c>
      <c r="B39" t="inlineStr">
        <is>
          <t>Jun</t>
        </is>
      </c>
      <c r="C39" t="inlineStr">
        <is>
          <t>East</t>
        </is>
      </c>
      <c r="D39" t="inlineStr">
        <is>
          <t>In-Store</t>
        </is>
      </c>
      <c r="E39" t="inlineStr">
        <is>
          <t>Home</t>
        </is>
      </c>
      <c r="F39" t="inlineStr">
        <is>
          <t>Cushion</t>
        </is>
      </c>
      <c r="G39" t="inlineStr">
        <is>
          <t>Flores</t>
        </is>
      </c>
      <c r="H39" t="n">
        <v>3</v>
      </c>
      <c r="I39" t="n">
        <v>24.47</v>
      </c>
      <c r="J39" t="n">
        <v>73.41</v>
      </c>
    </row>
    <row r="40">
      <c r="A40" t="n">
        <v>1036</v>
      </c>
      <c r="B40" t="inlineStr">
        <is>
          <t>Jan</t>
        </is>
      </c>
      <c r="C40" t="inlineStr">
        <is>
          <t>North</t>
        </is>
      </c>
      <c r="D40" t="inlineStr">
        <is>
          <t>Online</t>
        </is>
      </c>
      <c r="E40" t="inlineStr">
        <is>
          <t>Electronics</t>
        </is>
      </c>
      <c r="F40" t="inlineStr">
        <is>
          <t>Headphones</t>
        </is>
      </c>
      <c r="G40" t="inlineStr">
        <is>
          <t>Evans</t>
        </is>
      </c>
      <c r="H40" t="n">
        <v>10</v>
      </c>
      <c r="I40" t="n">
        <v>114.37</v>
      </c>
      <c r="J40" t="n">
        <v>1143.7</v>
      </c>
    </row>
    <row r="41">
      <c r="A41" t="n">
        <v>1037</v>
      </c>
      <c r="B41" t="inlineStr">
        <is>
          <t>Mar</t>
        </is>
      </c>
      <c r="C41" t="inlineStr">
        <is>
          <t>East</t>
        </is>
      </c>
      <c r="D41" t="inlineStr">
        <is>
          <t>Online</t>
        </is>
      </c>
      <c r="E41" t="inlineStr">
        <is>
          <t>Clothing</t>
        </is>
      </c>
      <c r="F41" t="inlineStr">
        <is>
          <t>Jeans</t>
        </is>
      </c>
      <c r="G41" t="inlineStr">
        <is>
          <t>Hughes</t>
        </is>
      </c>
      <c r="H41" t="n">
        <v>4</v>
      </c>
      <c r="I41" t="n">
        <v>85.11</v>
      </c>
      <c r="J41" t="n">
        <v>340.44</v>
      </c>
    </row>
    <row r="42">
      <c r="A42" t="n">
        <v>1038</v>
      </c>
      <c r="B42" t="inlineStr">
        <is>
          <t>May</t>
        </is>
      </c>
      <c r="C42" t="inlineStr">
        <is>
          <t>North</t>
        </is>
      </c>
      <c r="D42" t="inlineStr">
        <is>
          <t>In-Store</t>
        </is>
      </c>
      <c r="E42" t="inlineStr">
        <is>
          <t>Sports</t>
        </is>
      </c>
      <c r="F42" t="inlineStr">
        <is>
          <t>Water Bottle</t>
        </is>
      </c>
      <c r="G42" t="inlineStr">
        <is>
          <t>Brown</t>
        </is>
      </c>
      <c r="H42" t="n">
        <v>11</v>
      </c>
      <c r="I42" t="n">
        <v>83.40000000000001</v>
      </c>
      <c r="J42" t="n">
        <v>917.4</v>
      </c>
    </row>
    <row r="43">
      <c r="A43" t="n">
        <v>1039</v>
      </c>
      <c r="B43" t="inlineStr">
        <is>
          <t>Jun</t>
        </is>
      </c>
      <c r="C43" t="inlineStr">
        <is>
          <t>South</t>
        </is>
      </c>
      <c r="D43" t="inlineStr">
        <is>
          <t>In-Store</t>
        </is>
      </c>
      <c r="E43" t="inlineStr">
        <is>
          <t>Clothing</t>
        </is>
      </c>
      <c r="F43" t="inlineStr">
        <is>
          <t>Jeans</t>
        </is>
      </c>
      <c r="G43" t="inlineStr">
        <is>
          <t>Evans</t>
        </is>
      </c>
      <c r="H43" t="n">
        <v>2</v>
      </c>
      <c r="I43" t="n">
        <v>21.58</v>
      </c>
      <c r="J43" t="n">
        <v>43.16</v>
      </c>
    </row>
    <row r="44">
      <c r="A44" t="n">
        <v>1040</v>
      </c>
      <c r="B44" t="inlineStr">
        <is>
          <t>Jun</t>
        </is>
      </c>
      <c r="C44" t="inlineStr">
        <is>
          <t>East</t>
        </is>
      </c>
      <c r="D44" t="inlineStr">
        <is>
          <t>In-Store</t>
        </is>
      </c>
      <c r="E44" t="inlineStr">
        <is>
          <t>Sports</t>
        </is>
      </c>
      <c r="F44" t="inlineStr">
        <is>
          <t>Dumbbells</t>
        </is>
      </c>
      <c r="G44" t="inlineStr">
        <is>
          <t>Evans</t>
        </is>
      </c>
      <c r="H44" t="n">
        <v>4</v>
      </c>
      <c r="I44" t="n">
        <v>96.11</v>
      </c>
      <c r="J44" t="n">
        <v>384.44</v>
      </c>
    </row>
    <row r="45">
      <c r="A45" t="n">
        <v>1041</v>
      </c>
      <c r="B45" t="inlineStr">
        <is>
          <t>Jan</t>
        </is>
      </c>
      <c r="C45" t="inlineStr">
        <is>
          <t>North</t>
        </is>
      </c>
      <c r="D45" t="inlineStr">
        <is>
          <t>In-Store</t>
        </is>
      </c>
      <c r="E45" t="inlineStr">
        <is>
          <t>Electronics</t>
        </is>
      </c>
      <c r="F45" t="inlineStr">
        <is>
          <t>Headphones</t>
        </is>
      </c>
      <c r="G45" t="inlineStr">
        <is>
          <t>Chen</t>
        </is>
      </c>
      <c r="H45" t="n">
        <v>5</v>
      </c>
      <c r="I45" t="n">
        <v>148.69</v>
      </c>
      <c r="J45" t="n">
        <v>743.45</v>
      </c>
    </row>
    <row r="46">
      <c r="A46" t="n">
        <v>1042</v>
      </c>
      <c r="B46" t="inlineStr">
        <is>
          <t>Jun</t>
        </is>
      </c>
      <c r="C46" t="inlineStr">
        <is>
          <t>West</t>
        </is>
      </c>
      <c r="D46" t="inlineStr">
        <is>
          <t>Online</t>
        </is>
      </c>
      <c r="E46" t="inlineStr">
        <is>
          <t>Home</t>
        </is>
      </c>
      <c r="F46" t="inlineStr">
        <is>
          <t>Cushion</t>
        </is>
      </c>
      <c r="G46" t="inlineStr">
        <is>
          <t>Brown</t>
        </is>
      </c>
      <c r="H46" t="n">
        <v>9</v>
      </c>
      <c r="I46" t="n">
        <v>53.96</v>
      </c>
      <c r="J46" t="n">
        <v>485.64</v>
      </c>
    </row>
    <row r="47">
      <c r="A47" t="n">
        <v>1043</v>
      </c>
      <c r="B47" t="inlineStr">
        <is>
          <t>May</t>
        </is>
      </c>
      <c r="C47" t="inlineStr">
        <is>
          <t>South</t>
        </is>
      </c>
      <c r="D47" t="inlineStr">
        <is>
          <t>In-Store</t>
        </is>
      </c>
      <c r="E47" t="inlineStr">
        <is>
          <t>Electronics</t>
        </is>
      </c>
      <c r="F47" t="inlineStr">
        <is>
          <t>Smart Speaker</t>
        </is>
      </c>
      <c r="G47" t="inlineStr">
        <is>
          <t>Chen</t>
        </is>
      </c>
      <c r="H47" t="n">
        <v>6</v>
      </c>
      <c r="I47" t="n">
        <v>131.39</v>
      </c>
      <c r="J47" t="n">
        <v>788.34</v>
      </c>
    </row>
    <row r="48">
      <c r="A48" t="n">
        <v>1044</v>
      </c>
      <c r="B48" t="inlineStr">
        <is>
          <t>Mar</t>
        </is>
      </c>
      <c r="C48" t="inlineStr">
        <is>
          <t>South</t>
        </is>
      </c>
      <c r="D48" t="inlineStr">
        <is>
          <t>Online</t>
        </is>
      </c>
      <c r="E48" t="inlineStr">
        <is>
          <t>Electronics</t>
        </is>
      </c>
      <c r="F48" t="inlineStr">
        <is>
          <t>Tablet</t>
        </is>
      </c>
      <c r="G48" t="inlineStr">
        <is>
          <t>Brown</t>
        </is>
      </c>
      <c r="H48" t="n">
        <v>1</v>
      </c>
      <c r="I48" t="n">
        <v>96.11</v>
      </c>
      <c r="J48" t="n">
        <v>96.11</v>
      </c>
    </row>
    <row r="49">
      <c r="A49" t="n">
        <v>1045</v>
      </c>
      <c r="B49" t="inlineStr">
        <is>
          <t>Feb</t>
        </is>
      </c>
      <c r="C49" t="inlineStr">
        <is>
          <t>South</t>
        </is>
      </c>
      <c r="D49" t="inlineStr">
        <is>
          <t>Online</t>
        </is>
      </c>
      <c r="E49" t="inlineStr">
        <is>
          <t>Home</t>
        </is>
      </c>
      <c r="F49" t="inlineStr">
        <is>
          <t>Throw</t>
        </is>
      </c>
      <c r="G49" t="inlineStr">
        <is>
          <t>Chen</t>
        </is>
      </c>
      <c r="H49" t="n">
        <v>12</v>
      </c>
      <c r="I49" t="n">
        <v>68.38</v>
      </c>
      <c r="J49" t="n">
        <v>820.5599999999999</v>
      </c>
    </row>
    <row r="50">
      <c r="A50" t="n">
        <v>1046</v>
      </c>
      <c r="B50" t="inlineStr">
        <is>
          <t>Apr</t>
        </is>
      </c>
      <c r="C50" t="inlineStr">
        <is>
          <t>South</t>
        </is>
      </c>
      <c r="D50" t="inlineStr">
        <is>
          <t>In-Store</t>
        </is>
      </c>
      <c r="E50" t="inlineStr">
        <is>
          <t>Toys</t>
        </is>
      </c>
      <c r="F50" t="inlineStr">
        <is>
          <t>Puzzle</t>
        </is>
      </c>
      <c r="G50" t="inlineStr">
        <is>
          <t>Chen</t>
        </is>
      </c>
      <c r="H50" t="n">
        <v>6</v>
      </c>
      <c r="I50" t="n">
        <v>13</v>
      </c>
      <c r="J50" t="n">
        <v>78</v>
      </c>
    </row>
    <row r="51">
      <c r="A51" t="n">
        <v>1047</v>
      </c>
      <c r="B51" t="inlineStr">
        <is>
          <t>Feb</t>
        </is>
      </c>
      <c r="C51" t="inlineStr">
        <is>
          <t>South</t>
        </is>
      </c>
      <c r="D51" t="inlineStr">
        <is>
          <t>In-Store</t>
        </is>
      </c>
      <c r="E51" t="inlineStr">
        <is>
          <t>Electronics</t>
        </is>
      </c>
      <c r="F51" t="inlineStr">
        <is>
          <t>Charger</t>
        </is>
      </c>
      <c r="G51" t="inlineStr">
        <is>
          <t>Flores</t>
        </is>
      </c>
      <c r="H51" t="n">
        <v>8</v>
      </c>
      <c r="I51" t="n">
        <v>195.07</v>
      </c>
      <c r="J51" t="n">
        <v>1560.56</v>
      </c>
    </row>
    <row r="52">
      <c r="A52" t="n">
        <v>1048</v>
      </c>
      <c r="B52" t="inlineStr">
        <is>
          <t>Feb</t>
        </is>
      </c>
      <c r="C52" t="inlineStr">
        <is>
          <t>West</t>
        </is>
      </c>
      <c r="D52" t="inlineStr">
        <is>
          <t>In-Store</t>
        </is>
      </c>
      <c r="E52" t="inlineStr">
        <is>
          <t>Home</t>
        </is>
      </c>
      <c r="F52" t="inlineStr">
        <is>
          <t>Cushion</t>
        </is>
      </c>
      <c r="G52" t="inlineStr">
        <is>
          <t>Evans</t>
        </is>
      </c>
      <c r="H52" t="n">
        <v>11</v>
      </c>
      <c r="I52" t="n">
        <v>21.82</v>
      </c>
      <c r="J52" t="n">
        <v>240.02</v>
      </c>
    </row>
    <row r="53">
      <c r="A53" t="n">
        <v>1049</v>
      </c>
      <c r="B53" t="inlineStr">
        <is>
          <t>Apr</t>
        </is>
      </c>
      <c r="C53" t="inlineStr">
        <is>
          <t>East</t>
        </is>
      </c>
      <c r="D53" t="inlineStr">
        <is>
          <t>Online</t>
        </is>
      </c>
      <c r="E53" t="inlineStr">
        <is>
          <t>Electronics</t>
        </is>
      </c>
      <c r="F53" t="inlineStr">
        <is>
          <t>Tablet</t>
        </is>
      </c>
      <c r="G53" t="inlineStr">
        <is>
          <t>Brown</t>
        </is>
      </c>
      <c r="H53" t="n">
        <v>9</v>
      </c>
      <c r="I53" t="n">
        <v>93.47</v>
      </c>
      <c r="J53" t="n">
        <v>841.23</v>
      </c>
    </row>
    <row r="54">
      <c r="A54" t="n">
        <v>1050</v>
      </c>
      <c r="B54" t="inlineStr">
        <is>
          <t>Jan</t>
        </is>
      </c>
      <c r="C54" t="inlineStr">
        <is>
          <t>North</t>
        </is>
      </c>
      <c r="D54" t="inlineStr">
        <is>
          <t>In-Store</t>
        </is>
      </c>
      <c r="E54" t="inlineStr">
        <is>
          <t>Home</t>
        </is>
      </c>
      <c r="F54" t="inlineStr">
        <is>
          <t>Cushion</t>
        </is>
      </c>
      <c r="G54" t="inlineStr">
        <is>
          <t>Flores</t>
        </is>
      </c>
      <c r="H54" t="n">
        <v>5</v>
      </c>
      <c r="I54" t="n">
        <v>44</v>
      </c>
      <c r="J54" t="n">
        <v>220</v>
      </c>
    </row>
    <row r="55">
      <c r="A55" t="n">
        <v>1051</v>
      </c>
      <c r="B55" t="inlineStr">
        <is>
          <t>Jan</t>
        </is>
      </c>
      <c r="C55" t="inlineStr">
        <is>
          <t>West</t>
        </is>
      </c>
      <c r="D55" t="inlineStr">
        <is>
          <t>Online</t>
        </is>
      </c>
      <c r="E55" t="inlineStr">
        <is>
          <t>Home</t>
        </is>
      </c>
      <c r="F55" t="inlineStr">
        <is>
          <t>Throw</t>
        </is>
      </c>
      <c r="G55" t="inlineStr">
        <is>
          <t>Evans</t>
        </is>
      </c>
      <c r="H55" t="n">
        <v>9</v>
      </c>
      <c r="I55" t="n">
        <v>45.58</v>
      </c>
      <c r="J55" t="n">
        <v>410.22</v>
      </c>
    </row>
    <row r="56">
      <c r="A56" t="n">
        <v>1052</v>
      </c>
      <c r="B56" t="inlineStr">
        <is>
          <t>Jun</t>
        </is>
      </c>
      <c r="C56" t="inlineStr">
        <is>
          <t>South</t>
        </is>
      </c>
      <c r="D56" t="inlineStr">
        <is>
          <t>In-Store</t>
        </is>
      </c>
      <c r="E56" t="inlineStr">
        <is>
          <t>Electronics</t>
        </is>
      </c>
      <c r="F56" t="inlineStr">
        <is>
          <t>Charger</t>
        </is>
      </c>
      <c r="G56" t="inlineStr">
        <is>
          <t>Gupta</t>
        </is>
      </c>
      <c r="H56" t="n">
        <v>9</v>
      </c>
      <c r="I56" t="n">
        <v>25.33</v>
      </c>
      <c r="J56" t="n">
        <v>227.97</v>
      </c>
    </row>
    <row r="57">
      <c r="A57" t="n">
        <v>1053</v>
      </c>
      <c r="B57" t="inlineStr">
        <is>
          <t>Jan</t>
        </is>
      </c>
      <c r="C57" t="inlineStr">
        <is>
          <t>East</t>
        </is>
      </c>
      <c r="D57" t="inlineStr">
        <is>
          <t>In-Store</t>
        </is>
      </c>
      <c r="E57" t="inlineStr">
        <is>
          <t>Electronics</t>
        </is>
      </c>
      <c r="F57" t="inlineStr">
        <is>
          <t>Tablet</t>
        </is>
      </c>
      <c r="G57" t="inlineStr">
        <is>
          <t>Gupta</t>
        </is>
      </c>
      <c r="H57" t="n">
        <v>11</v>
      </c>
      <c r="I57" t="n">
        <v>146.52</v>
      </c>
      <c r="J57" t="n">
        <v>1611.72</v>
      </c>
    </row>
    <row r="58">
      <c r="A58" t="n">
        <v>1054</v>
      </c>
      <c r="B58" t="inlineStr">
        <is>
          <t>Feb</t>
        </is>
      </c>
      <c r="C58" t="inlineStr">
        <is>
          <t>South</t>
        </is>
      </c>
      <c r="D58" t="inlineStr">
        <is>
          <t>In-Store</t>
        </is>
      </c>
      <c r="E58" t="inlineStr">
        <is>
          <t>Home</t>
        </is>
      </c>
      <c r="F58" t="inlineStr">
        <is>
          <t>Throw</t>
        </is>
      </c>
      <c r="G58" t="inlineStr">
        <is>
          <t>Gupta</t>
        </is>
      </c>
      <c r="H58" t="n">
        <v>9</v>
      </c>
      <c r="I58" t="n">
        <v>51.23</v>
      </c>
      <c r="J58" t="n">
        <v>461.07</v>
      </c>
    </row>
    <row r="59">
      <c r="A59" t="n">
        <v>1055</v>
      </c>
      <c r="B59" t="inlineStr">
        <is>
          <t>Mar</t>
        </is>
      </c>
      <c r="C59" t="inlineStr">
        <is>
          <t>East</t>
        </is>
      </c>
      <c r="D59" t="inlineStr">
        <is>
          <t>Online</t>
        </is>
      </c>
      <c r="E59" t="inlineStr">
        <is>
          <t>Clothing</t>
        </is>
      </c>
      <c r="F59" t="inlineStr">
        <is>
          <t>Jeans</t>
        </is>
      </c>
      <c r="G59" t="inlineStr">
        <is>
          <t>Gupta</t>
        </is>
      </c>
      <c r="H59" t="n">
        <v>1</v>
      </c>
      <c r="I59" t="n">
        <v>45.7</v>
      </c>
      <c r="J59" t="n">
        <v>45.7</v>
      </c>
    </row>
    <row r="60">
      <c r="A60" t="n">
        <v>1056</v>
      </c>
      <c r="B60" t="inlineStr">
        <is>
          <t>Jun</t>
        </is>
      </c>
      <c r="C60" t="inlineStr">
        <is>
          <t>South</t>
        </is>
      </c>
      <c r="D60" t="inlineStr">
        <is>
          <t>In-Store</t>
        </is>
      </c>
      <c r="E60" t="inlineStr">
        <is>
          <t>Sports</t>
        </is>
      </c>
      <c r="F60" t="inlineStr">
        <is>
          <t>Water Bottle</t>
        </is>
      </c>
      <c r="G60" t="inlineStr">
        <is>
          <t>Chen</t>
        </is>
      </c>
      <c r="H60" t="n">
        <v>8</v>
      </c>
      <c r="I60" t="n">
        <v>65.8</v>
      </c>
      <c r="J60" t="n">
        <v>526.4</v>
      </c>
    </row>
    <row r="61">
      <c r="A61" t="n">
        <v>1057</v>
      </c>
      <c r="B61" t="inlineStr">
        <is>
          <t>May</t>
        </is>
      </c>
      <c r="C61" t="inlineStr">
        <is>
          <t>East</t>
        </is>
      </c>
      <c r="D61" t="inlineStr">
        <is>
          <t>Online</t>
        </is>
      </c>
      <c r="E61" t="inlineStr">
        <is>
          <t>Electronics</t>
        </is>
      </c>
      <c r="F61" t="inlineStr">
        <is>
          <t>Tablet</t>
        </is>
      </c>
      <c r="G61" t="inlineStr">
        <is>
          <t>Davies</t>
        </is>
      </c>
      <c r="H61" t="n">
        <v>11</v>
      </c>
      <c r="I61" t="n">
        <v>125.51</v>
      </c>
      <c r="J61" t="n">
        <v>1380.61</v>
      </c>
    </row>
    <row r="62">
      <c r="A62" t="n">
        <v>1058</v>
      </c>
      <c r="B62" t="inlineStr">
        <is>
          <t>Jan</t>
        </is>
      </c>
      <c r="C62" t="inlineStr">
        <is>
          <t>North</t>
        </is>
      </c>
      <c r="D62" t="inlineStr">
        <is>
          <t>Online</t>
        </is>
      </c>
      <c r="E62" t="inlineStr">
        <is>
          <t>Home</t>
        </is>
      </c>
      <c r="F62" t="inlineStr">
        <is>
          <t>Cushion</t>
        </is>
      </c>
      <c r="G62" t="inlineStr">
        <is>
          <t>Hughes</t>
        </is>
      </c>
      <c r="H62" t="n">
        <v>3</v>
      </c>
      <c r="I62" t="n">
        <v>58.01</v>
      </c>
      <c r="J62" t="n">
        <v>174.03</v>
      </c>
    </row>
    <row r="63">
      <c r="A63" t="n">
        <v>1059</v>
      </c>
      <c r="B63" t="inlineStr">
        <is>
          <t>May</t>
        </is>
      </c>
      <c r="C63" t="inlineStr">
        <is>
          <t>South</t>
        </is>
      </c>
      <c r="D63" t="inlineStr">
        <is>
          <t>In-Store</t>
        </is>
      </c>
      <c r="E63" t="inlineStr">
        <is>
          <t>Sports</t>
        </is>
      </c>
      <c r="F63" t="inlineStr">
        <is>
          <t>Yoga Mat</t>
        </is>
      </c>
      <c r="G63" t="inlineStr">
        <is>
          <t>Hughes</t>
        </is>
      </c>
      <c r="H63" t="n">
        <v>11</v>
      </c>
      <c r="I63" t="n">
        <v>64.65000000000001</v>
      </c>
      <c r="J63" t="n">
        <v>711.15</v>
      </c>
    </row>
    <row r="64">
      <c r="A64" t="n">
        <v>1060</v>
      </c>
      <c r="B64" t="inlineStr">
        <is>
          <t>Jan</t>
        </is>
      </c>
      <c r="C64" t="inlineStr">
        <is>
          <t>North</t>
        </is>
      </c>
      <c r="D64" t="inlineStr">
        <is>
          <t>In-Store</t>
        </is>
      </c>
      <c r="E64" t="inlineStr">
        <is>
          <t>Toys</t>
        </is>
      </c>
      <c r="F64" t="inlineStr">
        <is>
          <t>Action Figure</t>
        </is>
      </c>
      <c r="G64" t="inlineStr">
        <is>
          <t>Davies</t>
        </is>
      </c>
      <c r="H64" t="n">
        <v>12</v>
      </c>
      <c r="I64" t="n">
        <v>11.76</v>
      </c>
      <c r="J64" t="n">
        <v>141.12</v>
      </c>
    </row>
    <row r="65">
      <c r="A65" t="n">
        <v>1061</v>
      </c>
      <c r="B65" t="inlineStr">
        <is>
          <t>Jan</t>
        </is>
      </c>
      <c r="C65" t="inlineStr">
        <is>
          <t>West</t>
        </is>
      </c>
      <c r="D65" t="inlineStr">
        <is>
          <t>Online</t>
        </is>
      </c>
      <c r="E65" t="inlineStr">
        <is>
          <t>Clothing</t>
        </is>
      </c>
      <c r="F65" t="inlineStr">
        <is>
          <t>Trainers</t>
        </is>
      </c>
      <c r="G65" t="inlineStr">
        <is>
          <t>Hughes</t>
        </is>
      </c>
      <c r="H65" t="n">
        <v>4</v>
      </c>
      <c r="I65" t="n">
        <v>16.17</v>
      </c>
      <c r="J65" t="n">
        <v>64.68000000000001</v>
      </c>
    </row>
    <row r="66">
      <c r="A66" t="n">
        <v>1062</v>
      </c>
      <c r="B66" t="inlineStr">
        <is>
          <t>May</t>
        </is>
      </c>
      <c r="C66" t="inlineStr">
        <is>
          <t>West</t>
        </is>
      </c>
      <c r="D66" t="inlineStr">
        <is>
          <t>In-Store</t>
        </is>
      </c>
      <c r="E66" t="inlineStr">
        <is>
          <t>Sports</t>
        </is>
      </c>
      <c r="F66" t="inlineStr">
        <is>
          <t>Water Bottle</t>
        </is>
      </c>
      <c r="G66" t="inlineStr">
        <is>
          <t>Chen</t>
        </is>
      </c>
      <c r="H66" t="n">
        <v>8</v>
      </c>
      <c r="I66" t="n">
        <v>124</v>
      </c>
      <c r="J66" t="n">
        <v>992</v>
      </c>
    </row>
    <row r="67">
      <c r="A67" t="n">
        <v>1063</v>
      </c>
      <c r="B67" t="inlineStr">
        <is>
          <t>Jun</t>
        </is>
      </c>
      <c r="C67" t="inlineStr">
        <is>
          <t>East</t>
        </is>
      </c>
      <c r="D67" t="inlineStr">
        <is>
          <t>In-Store</t>
        </is>
      </c>
      <c r="E67" t="inlineStr">
        <is>
          <t>Toys</t>
        </is>
      </c>
      <c r="F67" t="inlineStr">
        <is>
          <t>Building Set</t>
        </is>
      </c>
      <c r="G67" t="inlineStr">
        <is>
          <t>Davies</t>
        </is>
      </c>
      <c r="H67" t="n">
        <v>4</v>
      </c>
      <c r="I67" t="n">
        <v>16.11</v>
      </c>
      <c r="J67" t="n">
        <v>64.44</v>
      </c>
    </row>
    <row r="68">
      <c r="A68" t="n">
        <v>1064</v>
      </c>
      <c r="B68" t="inlineStr">
        <is>
          <t>Feb</t>
        </is>
      </c>
      <c r="C68" t="inlineStr">
        <is>
          <t>East</t>
        </is>
      </c>
      <c r="D68" t="inlineStr">
        <is>
          <t>In-Store</t>
        </is>
      </c>
      <c r="E68" t="inlineStr">
        <is>
          <t>Home</t>
        </is>
      </c>
      <c r="F68" t="inlineStr">
        <is>
          <t>Throw</t>
        </is>
      </c>
      <c r="G68" t="inlineStr">
        <is>
          <t>Flores</t>
        </is>
      </c>
      <c r="H68" t="n">
        <v>5</v>
      </c>
      <c r="I68" t="n">
        <v>12.8</v>
      </c>
      <c r="J68" t="n">
        <v>64</v>
      </c>
    </row>
    <row r="69">
      <c r="A69" t="n">
        <v>1065</v>
      </c>
      <c r="B69" t="inlineStr">
        <is>
          <t>Apr</t>
        </is>
      </c>
      <c r="C69" t="inlineStr">
        <is>
          <t>South</t>
        </is>
      </c>
      <c r="D69" t="inlineStr">
        <is>
          <t>Online</t>
        </is>
      </c>
      <c r="E69" t="inlineStr">
        <is>
          <t>Sports</t>
        </is>
      </c>
      <c r="F69" t="inlineStr">
        <is>
          <t>Yoga Mat</t>
        </is>
      </c>
      <c r="G69" t="inlineStr">
        <is>
          <t>Brown</t>
        </is>
      </c>
      <c r="H69" t="n">
        <v>4</v>
      </c>
      <c r="I69" t="n">
        <v>26.6</v>
      </c>
      <c r="J69" t="n">
        <v>106.4</v>
      </c>
    </row>
    <row r="70">
      <c r="A70" t="n">
        <v>1066</v>
      </c>
      <c r="B70" t="inlineStr">
        <is>
          <t>Apr</t>
        </is>
      </c>
      <c r="C70" t="inlineStr">
        <is>
          <t>North</t>
        </is>
      </c>
      <c r="D70" t="inlineStr">
        <is>
          <t>Online</t>
        </is>
      </c>
      <c r="E70" t="inlineStr">
        <is>
          <t>Toys</t>
        </is>
      </c>
      <c r="F70" t="inlineStr">
        <is>
          <t>Building Set</t>
        </is>
      </c>
      <c r="G70" t="inlineStr">
        <is>
          <t>Gupta</t>
        </is>
      </c>
      <c r="H70" t="n">
        <v>8</v>
      </c>
      <c r="I70" t="n">
        <v>18.9</v>
      </c>
      <c r="J70" t="n">
        <v>151.2</v>
      </c>
    </row>
    <row r="71">
      <c r="A71" t="n">
        <v>1067</v>
      </c>
      <c r="B71" t="inlineStr">
        <is>
          <t>Apr</t>
        </is>
      </c>
      <c r="C71" t="inlineStr">
        <is>
          <t>West</t>
        </is>
      </c>
      <c r="D71" t="inlineStr">
        <is>
          <t>Online</t>
        </is>
      </c>
      <c r="E71" t="inlineStr">
        <is>
          <t>Toys</t>
        </is>
      </c>
      <c r="F71" t="inlineStr">
        <is>
          <t>Puzzle</t>
        </is>
      </c>
      <c r="G71" t="inlineStr">
        <is>
          <t>Flores</t>
        </is>
      </c>
      <c r="H71" t="n">
        <v>10</v>
      </c>
      <c r="I71" t="n">
        <v>39.41</v>
      </c>
      <c r="J71" t="n">
        <v>394.1</v>
      </c>
    </row>
    <row r="72">
      <c r="A72" t="n">
        <v>1068</v>
      </c>
      <c r="B72" t="inlineStr">
        <is>
          <t>May</t>
        </is>
      </c>
      <c r="C72" t="inlineStr">
        <is>
          <t>South</t>
        </is>
      </c>
      <c r="D72" t="inlineStr">
        <is>
          <t>In-Store</t>
        </is>
      </c>
      <c r="E72" t="inlineStr">
        <is>
          <t>Home</t>
        </is>
      </c>
      <c r="F72" t="inlineStr">
        <is>
          <t>Throw</t>
        </is>
      </c>
      <c r="G72" t="inlineStr">
        <is>
          <t>Davies</t>
        </is>
      </c>
      <c r="H72" t="n">
        <v>7</v>
      </c>
      <c r="I72" t="n">
        <v>60.91</v>
      </c>
      <c r="J72" t="n">
        <v>426.37</v>
      </c>
    </row>
    <row r="73">
      <c r="A73" t="n">
        <v>1069</v>
      </c>
      <c r="B73" t="inlineStr">
        <is>
          <t>Mar</t>
        </is>
      </c>
      <c r="C73" t="inlineStr">
        <is>
          <t>West</t>
        </is>
      </c>
      <c r="D73" t="inlineStr">
        <is>
          <t>Online</t>
        </is>
      </c>
      <c r="E73" t="inlineStr">
        <is>
          <t>Home</t>
        </is>
      </c>
      <c r="F73" t="inlineStr">
        <is>
          <t>Throw</t>
        </is>
      </c>
      <c r="G73" t="inlineStr">
        <is>
          <t>Hughes</t>
        </is>
      </c>
      <c r="H73" t="n">
        <v>7</v>
      </c>
      <c r="I73" t="n">
        <v>38.11</v>
      </c>
      <c r="J73" t="n">
        <v>266.77</v>
      </c>
    </row>
    <row r="74">
      <c r="A74" t="n">
        <v>1070</v>
      </c>
      <c r="B74" t="inlineStr">
        <is>
          <t>May</t>
        </is>
      </c>
      <c r="C74" t="inlineStr">
        <is>
          <t>North</t>
        </is>
      </c>
      <c r="D74" t="inlineStr">
        <is>
          <t>Online</t>
        </is>
      </c>
      <c r="E74" t="inlineStr">
        <is>
          <t>Clothing</t>
        </is>
      </c>
      <c r="F74" t="inlineStr">
        <is>
          <t>T-Shirt</t>
        </is>
      </c>
      <c r="G74" t="inlineStr">
        <is>
          <t>Gupta</t>
        </is>
      </c>
      <c r="H74" t="n">
        <v>10</v>
      </c>
      <c r="I74" t="n">
        <v>87.28</v>
      </c>
      <c r="J74" t="n">
        <v>872.8</v>
      </c>
    </row>
    <row r="75">
      <c r="A75" t="n">
        <v>1071</v>
      </c>
      <c r="B75" t="inlineStr">
        <is>
          <t>Apr</t>
        </is>
      </c>
      <c r="C75" t="inlineStr">
        <is>
          <t>East</t>
        </is>
      </c>
      <c r="D75" t="inlineStr">
        <is>
          <t>Online</t>
        </is>
      </c>
      <c r="E75" t="inlineStr">
        <is>
          <t>Clothing</t>
        </is>
      </c>
      <c r="F75" t="inlineStr">
        <is>
          <t>Trainers</t>
        </is>
      </c>
      <c r="G75" t="inlineStr">
        <is>
          <t>Hughes</t>
        </is>
      </c>
      <c r="H75" t="n">
        <v>5</v>
      </c>
      <c r="I75" t="n">
        <v>27.08</v>
      </c>
      <c r="J75" t="n">
        <v>135.4</v>
      </c>
    </row>
    <row r="76">
      <c r="A76" t="n">
        <v>1072</v>
      </c>
      <c r="B76" t="inlineStr">
        <is>
          <t>Mar</t>
        </is>
      </c>
      <c r="C76" t="inlineStr">
        <is>
          <t>West</t>
        </is>
      </c>
      <c r="D76" t="inlineStr">
        <is>
          <t>In-Store</t>
        </is>
      </c>
      <c r="E76" t="inlineStr">
        <is>
          <t>Home</t>
        </is>
      </c>
      <c r="F76" t="inlineStr">
        <is>
          <t>Mug Set</t>
        </is>
      </c>
      <c r="G76" t="inlineStr">
        <is>
          <t>Brown</t>
        </is>
      </c>
      <c r="H76" t="n">
        <v>7</v>
      </c>
      <c r="I76" t="n">
        <v>55.2</v>
      </c>
      <c r="J76" t="n">
        <v>386.4</v>
      </c>
    </row>
    <row r="77">
      <c r="A77" t="n">
        <v>1073</v>
      </c>
      <c r="B77" t="inlineStr">
        <is>
          <t>Mar</t>
        </is>
      </c>
      <c r="C77" t="inlineStr">
        <is>
          <t>South</t>
        </is>
      </c>
      <c r="D77" t="inlineStr">
        <is>
          <t>Online</t>
        </is>
      </c>
      <c r="E77" t="inlineStr">
        <is>
          <t>Toys</t>
        </is>
      </c>
      <c r="F77" t="inlineStr">
        <is>
          <t>Puzzle</t>
        </is>
      </c>
      <c r="G77" t="inlineStr">
        <is>
          <t>Adams</t>
        </is>
      </c>
      <c r="H77" t="n">
        <v>1</v>
      </c>
      <c r="I77" t="n">
        <v>35.21</v>
      </c>
      <c r="J77" t="n">
        <v>35.21</v>
      </c>
    </row>
    <row r="78">
      <c r="A78" t="n">
        <v>1074</v>
      </c>
      <c r="B78" t="inlineStr">
        <is>
          <t>May</t>
        </is>
      </c>
      <c r="C78" t="inlineStr">
        <is>
          <t>South</t>
        </is>
      </c>
      <c r="D78" t="inlineStr">
        <is>
          <t>Online</t>
        </is>
      </c>
      <c r="E78" t="inlineStr">
        <is>
          <t>Electronics</t>
        </is>
      </c>
      <c r="F78" t="inlineStr">
        <is>
          <t>Smart Speaker</t>
        </is>
      </c>
      <c r="G78" t="inlineStr">
        <is>
          <t>Chen</t>
        </is>
      </c>
      <c r="H78" t="n">
        <v>1</v>
      </c>
      <c r="I78" t="n">
        <v>63.88</v>
      </c>
      <c r="J78" t="n">
        <v>63.88</v>
      </c>
    </row>
    <row r="79">
      <c r="A79" t="n">
        <v>1075</v>
      </c>
      <c r="B79" t="inlineStr">
        <is>
          <t>Apr</t>
        </is>
      </c>
      <c r="C79" t="inlineStr">
        <is>
          <t>East</t>
        </is>
      </c>
      <c r="D79" t="inlineStr">
        <is>
          <t>In-Store</t>
        </is>
      </c>
      <c r="E79" t="inlineStr">
        <is>
          <t>Toys</t>
        </is>
      </c>
      <c r="F79" t="inlineStr">
        <is>
          <t>Puzzle</t>
        </is>
      </c>
      <c r="G79" t="inlineStr">
        <is>
          <t>Chen</t>
        </is>
      </c>
      <c r="H79" t="n">
        <v>4</v>
      </c>
      <c r="I79" t="n">
        <v>27.99</v>
      </c>
      <c r="J79" t="n">
        <v>111.96</v>
      </c>
    </row>
    <row r="80">
      <c r="A80" t="n">
        <v>1076</v>
      </c>
      <c r="B80" t="inlineStr">
        <is>
          <t>Mar</t>
        </is>
      </c>
      <c r="C80" t="inlineStr">
        <is>
          <t>North</t>
        </is>
      </c>
      <c r="D80" t="inlineStr">
        <is>
          <t>Online</t>
        </is>
      </c>
      <c r="E80" t="inlineStr">
        <is>
          <t>Sports</t>
        </is>
      </c>
      <c r="F80" t="inlineStr">
        <is>
          <t>Yoga Mat</t>
        </is>
      </c>
      <c r="G80" t="inlineStr">
        <is>
          <t>Evans</t>
        </is>
      </c>
      <c r="H80" t="n">
        <v>3</v>
      </c>
      <c r="I80" t="n">
        <v>103.34</v>
      </c>
      <c r="J80" t="n">
        <v>310.02</v>
      </c>
    </row>
    <row r="81">
      <c r="A81" t="n">
        <v>1077</v>
      </c>
      <c r="B81" t="inlineStr">
        <is>
          <t>Feb</t>
        </is>
      </c>
      <c r="C81" t="inlineStr">
        <is>
          <t>North</t>
        </is>
      </c>
      <c r="D81" t="inlineStr">
        <is>
          <t>Online</t>
        </is>
      </c>
      <c r="E81" t="inlineStr">
        <is>
          <t>Sports</t>
        </is>
      </c>
      <c r="F81" t="inlineStr">
        <is>
          <t>Running Shoes</t>
        </is>
      </c>
      <c r="G81" t="inlineStr">
        <is>
          <t>Brown</t>
        </is>
      </c>
      <c r="H81" t="n">
        <v>12</v>
      </c>
      <c r="I81" t="n">
        <v>57.6</v>
      </c>
      <c r="J81" t="n">
        <v>691.2</v>
      </c>
    </row>
    <row r="82">
      <c r="A82" t="n">
        <v>1078</v>
      </c>
      <c r="B82" t="inlineStr">
        <is>
          <t>Jan</t>
        </is>
      </c>
      <c r="C82" t="inlineStr">
        <is>
          <t>East</t>
        </is>
      </c>
      <c r="D82" t="inlineStr">
        <is>
          <t>In-Store</t>
        </is>
      </c>
      <c r="E82" t="inlineStr">
        <is>
          <t>Home</t>
        </is>
      </c>
      <c r="F82" t="inlineStr">
        <is>
          <t>Lamp</t>
        </is>
      </c>
      <c r="G82" t="inlineStr">
        <is>
          <t>Flores</t>
        </is>
      </c>
      <c r="H82" t="n">
        <v>10</v>
      </c>
      <c r="I82" t="n">
        <v>57.37</v>
      </c>
      <c r="J82" t="n">
        <v>573.7</v>
      </c>
    </row>
    <row r="83">
      <c r="A83" t="n">
        <v>1079</v>
      </c>
      <c r="B83" t="inlineStr">
        <is>
          <t>Apr</t>
        </is>
      </c>
      <c r="C83" t="inlineStr">
        <is>
          <t>North</t>
        </is>
      </c>
      <c r="D83" t="inlineStr">
        <is>
          <t>In-Store</t>
        </is>
      </c>
      <c r="E83" t="inlineStr">
        <is>
          <t>Electronics</t>
        </is>
      </c>
      <c r="F83" t="inlineStr">
        <is>
          <t>Tablet</t>
        </is>
      </c>
      <c r="G83" t="inlineStr">
        <is>
          <t>Flores</t>
        </is>
      </c>
      <c r="H83" t="n">
        <v>7</v>
      </c>
      <c r="I83" t="n">
        <v>27.47</v>
      </c>
      <c r="J83" t="n">
        <v>192.29</v>
      </c>
    </row>
    <row r="84">
      <c r="A84" t="n">
        <v>1080</v>
      </c>
      <c r="B84" t="inlineStr">
        <is>
          <t>May</t>
        </is>
      </c>
      <c r="C84" t="inlineStr">
        <is>
          <t>East</t>
        </is>
      </c>
      <c r="D84" t="inlineStr">
        <is>
          <t>In-Store</t>
        </is>
      </c>
      <c r="E84" t="inlineStr">
        <is>
          <t>Toys</t>
        </is>
      </c>
      <c r="F84" t="inlineStr">
        <is>
          <t>Action Figure</t>
        </is>
      </c>
      <c r="G84" t="inlineStr">
        <is>
          <t>Hughes</t>
        </is>
      </c>
      <c r="H84" t="n">
        <v>12</v>
      </c>
      <c r="I84" t="n">
        <v>22.98</v>
      </c>
      <c r="J84" t="n">
        <v>275.76</v>
      </c>
    </row>
    <row r="85">
      <c r="A85" t="n">
        <v>1081</v>
      </c>
      <c r="B85" t="inlineStr">
        <is>
          <t>Jan</t>
        </is>
      </c>
      <c r="C85" t="inlineStr">
        <is>
          <t>East</t>
        </is>
      </c>
      <c r="D85" t="inlineStr">
        <is>
          <t>In-Store</t>
        </is>
      </c>
      <c r="E85" t="inlineStr">
        <is>
          <t>Toys</t>
        </is>
      </c>
      <c r="F85" t="inlineStr">
        <is>
          <t>Board Game</t>
        </is>
      </c>
      <c r="G85" t="inlineStr">
        <is>
          <t>Davies</t>
        </is>
      </c>
      <c r="H85" t="n">
        <v>4</v>
      </c>
      <c r="I85" t="n">
        <v>18.57</v>
      </c>
      <c r="J85" t="n">
        <v>74.28</v>
      </c>
    </row>
    <row r="86">
      <c r="A86" t="n">
        <v>1082</v>
      </c>
      <c r="B86" t="inlineStr">
        <is>
          <t>Mar</t>
        </is>
      </c>
      <c r="C86" t="inlineStr">
        <is>
          <t>South</t>
        </is>
      </c>
      <c r="D86" t="inlineStr">
        <is>
          <t>In-Store</t>
        </is>
      </c>
      <c r="E86" t="inlineStr">
        <is>
          <t>Toys</t>
        </is>
      </c>
      <c r="F86" t="inlineStr">
        <is>
          <t>Building Set</t>
        </is>
      </c>
      <c r="G86" t="inlineStr">
        <is>
          <t>Davies</t>
        </is>
      </c>
      <c r="H86" t="n">
        <v>8</v>
      </c>
      <c r="I86" t="n">
        <v>19.12</v>
      </c>
      <c r="J86" t="n">
        <v>152.96</v>
      </c>
    </row>
    <row r="87">
      <c r="A87" t="n">
        <v>1083</v>
      </c>
      <c r="B87" t="inlineStr">
        <is>
          <t>Jun</t>
        </is>
      </c>
      <c r="C87" t="inlineStr">
        <is>
          <t>East</t>
        </is>
      </c>
      <c r="D87" t="inlineStr">
        <is>
          <t>Online</t>
        </is>
      </c>
      <c r="E87" t="inlineStr">
        <is>
          <t>Home</t>
        </is>
      </c>
      <c r="F87" t="inlineStr">
        <is>
          <t>Mug Set</t>
        </is>
      </c>
      <c r="G87" t="inlineStr">
        <is>
          <t>Davies</t>
        </is>
      </c>
      <c r="H87" t="n">
        <v>10</v>
      </c>
      <c r="I87" t="n">
        <v>29.1</v>
      </c>
      <c r="J87" t="n">
        <v>291</v>
      </c>
    </row>
    <row r="88">
      <c r="A88" t="n">
        <v>1084</v>
      </c>
      <c r="B88" t="inlineStr">
        <is>
          <t>May</t>
        </is>
      </c>
      <c r="C88" t="inlineStr">
        <is>
          <t>South</t>
        </is>
      </c>
      <c r="D88" t="inlineStr">
        <is>
          <t>In-Store</t>
        </is>
      </c>
      <c r="E88" t="inlineStr">
        <is>
          <t>Electronics</t>
        </is>
      </c>
      <c r="F88" t="inlineStr">
        <is>
          <t>Smart Speaker</t>
        </is>
      </c>
      <c r="G88" t="inlineStr">
        <is>
          <t>Hughes</t>
        </is>
      </c>
      <c r="H88" t="n">
        <v>8</v>
      </c>
      <c r="I88" t="n">
        <v>165.41</v>
      </c>
      <c r="J88" t="n">
        <v>1323.28</v>
      </c>
    </row>
    <row r="89">
      <c r="A89" t="n">
        <v>1085</v>
      </c>
      <c r="B89" t="inlineStr">
        <is>
          <t>Apr</t>
        </is>
      </c>
      <c r="C89" t="inlineStr">
        <is>
          <t>South</t>
        </is>
      </c>
      <c r="D89" t="inlineStr">
        <is>
          <t>In-Store</t>
        </is>
      </c>
      <c r="E89" t="inlineStr">
        <is>
          <t>Toys</t>
        </is>
      </c>
      <c r="F89" t="inlineStr">
        <is>
          <t>Puzzle</t>
        </is>
      </c>
      <c r="G89" t="inlineStr">
        <is>
          <t>Flores</t>
        </is>
      </c>
      <c r="H89" t="n">
        <v>4</v>
      </c>
      <c r="I89" t="n">
        <v>9.630000000000001</v>
      </c>
      <c r="J89" t="n">
        <v>38.52</v>
      </c>
    </row>
    <row r="90">
      <c r="A90" t="n">
        <v>1086</v>
      </c>
      <c r="B90" t="inlineStr">
        <is>
          <t>May</t>
        </is>
      </c>
      <c r="C90" t="inlineStr">
        <is>
          <t>East</t>
        </is>
      </c>
      <c r="D90" t="inlineStr">
        <is>
          <t>In-Store</t>
        </is>
      </c>
      <c r="E90" t="inlineStr">
        <is>
          <t>Toys</t>
        </is>
      </c>
      <c r="F90" t="inlineStr">
        <is>
          <t>Board Game</t>
        </is>
      </c>
      <c r="G90" t="inlineStr">
        <is>
          <t>Hughes</t>
        </is>
      </c>
      <c r="H90" t="n">
        <v>12</v>
      </c>
      <c r="I90" t="n">
        <v>22.59</v>
      </c>
      <c r="J90" t="n">
        <v>271.08</v>
      </c>
    </row>
    <row r="91">
      <c r="A91" t="n">
        <v>1087</v>
      </c>
      <c r="B91" t="inlineStr">
        <is>
          <t>Jun</t>
        </is>
      </c>
      <c r="C91" t="inlineStr">
        <is>
          <t>South</t>
        </is>
      </c>
      <c r="D91" t="inlineStr">
        <is>
          <t>In-Store</t>
        </is>
      </c>
      <c r="E91" t="inlineStr">
        <is>
          <t>Home</t>
        </is>
      </c>
      <c r="F91" t="inlineStr">
        <is>
          <t>Mug Set</t>
        </is>
      </c>
      <c r="G91" t="inlineStr">
        <is>
          <t>Brown</t>
        </is>
      </c>
      <c r="H91" t="n">
        <v>2</v>
      </c>
      <c r="I91" t="n">
        <v>23.59</v>
      </c>
      <c r="J91" t="n">
        <v>47.18</v>
      </c>
    </row>
    <row r="92">
      <c r="A92" t="n">
        <v>1088</v>
      </c>
      <c r="B92" t="inlineStr">
        <is>
          <t>Apr</t>
        </is>
      </c>
      <c r="C92" t="inlineStr">
        <is>
          <t>East</t>
        </is>
      </c>
      <c r="D92" t="inlineStr">
        <is>
          <t>In-Store</t>
        </is>
      </c>
      <c r="E92" t="inlineStr">
        <is>
          <t>Sports</t>
        </is>
      </c>
      <c r="F92" t="inlineStr">
        <is>
          <t>Dumbbells</t>
        </is>
      </c>
      <c r="G92" t="inlineStr">
        <is>
          <t>Brown</t>
        </is>
      </c>
      <c r="H92" t="n">
        <v>12</v>
      </c>
      <c r="I92" t="n">
        <v>32.98</v>
      </c>
      <c r="J92" t="n">
        <v>395.76</v>
      </c>
    </row>
    <row r="93">
      <c r="A93" t="n">
        <v>1089</v>
      </c>
      <c r="B93" t="inlineStr">
        <is>
          <t>Mar</t>
        </is>
      </c>
      <c r="C93" t="inlineStr">
        <is>
          <t>North</t>
        </is>
      </c>
      <c r="D93" t="inlineStr">
        <is>
          <t>Online</t>
        </is>
      </c>
      <c r="E93" t="inlineStr">
        <is>
          <t>Clothing</t>
        </is>
      </c>
      <c r="F93" t="inlineStr">
        <is>
          <t>Jeans</t>
        </is>
      </c>
      <c r="G93" t="inlineStr">
        <is>
          <t>Evans</t>
        </is>
      </c>
      <c r="H93" t="n">
        <v>3</v>
      </c>
      <c r="I93" t="n">
        <v>30.88</v>
      </c>
      <c r="J93" t="n">
        <v>92.64</v>
      </c>
    </row>
    <row r="94">
      <c r="A94" t="n">
        <v>1090</v>
      </c>
      <c r="B94" t="inlineStr">
        <is>
          <t>Feb</t>
        </is>
      </c>
      <c r="C94" t="inlineStr">
        <is>
          <t>West</t>
        </is>
      </c>
      <c r="D94" t="inlineStr">
        <is>
          <t>Online</t>
        </is>
      </c>
      <c r="E94" t="inlineStr">
        <is>
          <t>Electronics</t>
        </is>
      </c>
      <c r="F94" t="inlineStr">
        <is>
          <t>Headphones</t>
        </is>
      </c>
      <c r="G94" t="inlineStr">
        <is>
          <t>Adams</t>
        </is>
      </c>
      <c r="H94" t="n">
        <v>12</v>
      </c>
      <c r="I94" t="n">
        <v>132.9</v>
      </c>
      <c r="J94" t="n">
        <v>1594.8</v>
      </c>
    </row>
    <row r="95">
      <c r="A95" t="n">
        <v>1091</v>
      </c>
      <c r="B95" t="inlineStr">
        <is>
          <t>Mar</t>
        </is>
      </c>
      <c r="C95" t="inlineStr">
        <is>
          <t>South</t>
        </is>
      </c>
      <c r="D95" t="inlineStr">
        <is>
          <t>Online</t>
        </is>
      </c>
      <c r="E95" t="inlineStr">
        <is>
          <t>Sports</t>
        </is>
      </c>
      <c r="F95" t="inlineStr">
        <is>
          <t>Water Bottle</t>
        </is>
      </c>
      <c r="G95" t="inlineStr">
        <is>
          <t>Evans</t>
        </is>
      </c>
      <c r="H95" t="n">
        <v>8</v>
      </c>
      <c r="I95" t="n">
        <v>66.33</v>
      </c>
      <c r="J95" t="n">
        <v>530.64</v>
      </c>
    </row>
    <row r="96">
      <c r="A96" t="n">
        <v>1092</v>
      </c>
      <c r="B96" t="inlineStr">
        <is>
          <t>Apr</t>
        </is>
      </c>
      <c r="C96" t="inlineStr">
        <is>
          <t>North</t>
        </is>
      </c>
      <c r="D96" t="inlineStr">
        <is>
          <t>Online</t>
        </is>
      </c>
      <c r="E96" t="inlineStr">
        <is>
          <t>Toys</t>
        </is>
      </c>
      <c r="F96" t="inlineStr">
        <is>
          <t>Puzzle</t>
        </is>
      </c>
      <c r="G96" t="inlineStr">
        <is>
          <t>Chen</t>
        </is>
      </c>
      <c r="H96" t="n">
        <v>7</v>
      </c>
      <c r="I96" t="n">
        <v>38.06</v>
      </c>
      <c r="J96" t="n">
        <v>266.42</v>
      </c>
    </row>
    <row r="97">
      <c r="A97" t="n">
        <v>1093</v>
      </c>
      <c r="B97" t="inlineStr">
        <is>
          <t>Jan</t>
        </is>
      </c>
      <c r="C97" t="inlineStr">
        <is>
          <t>West</t>
        </is>
      </c>
      <c r="D97" t="inlineStr">
        <is>
          <t>Online</t>
        </is>
      </c>
      <c r="E97" t="inlineStr">
        <is>
          <t>Clothing</t>
        </is>
      </c>
      <c r="F97" t="inlineStr">
        <is>
          <t>Jeans</t>
        </is>
      </c>
      <c r="G97" t="inlineStr">
        <is>
          <t>Gupta</t>
        </is>
      </c>
      <c r="H97" t="n">
        <v>4</v>
      </c>
      <c r="I97" t="n">
        <v>19.07</v>
      </c>
      <c r="J97" t="n">
        <v>76.28</v>
      </c>
    </row>
    <row r="98">
      <c r="A98" t="n">
        <v>1094</v>
      </c>
      <c r="B98" t="inlineStr">
        <is>
          <t>Apr</t>
        </is>
      </c>
      <c r="C98" t="inlineStr">
        <is>
          <t>East</t>
        </is>
      </c>
      <c r="D98" t="inlineStr">
        <is>
          <t>Online</t>
        </is>
      </c>
      <c r="E98" t="inlineStr">
        <is>
          <t>Toys</t>
        </is>
      </c>
      <c r="F98" t="inlineStr">
        <is>
          <t>Building Set</t>
        </is>
      </c>
      <c r="G98" t="inlineStr">
        <is>
          <t>Brown</t>
        </is>
      </c>
      <c r="H98" t="n">
        <v>10</v>
      </c>
      <c r="I98" t="n">
        <v>17.6</v>
      </c>
      <c r="J98" t="n">
        <v>176</v>
      </c>
    </row>
    <row r="99">
      <c r="A99" t="n">
        <v>1095</v>
      </c>
      <c r="B99" t="inlineStr">
        <is>
          <t>Feb</t>
        </is>
      </c>
      <c r="C99" t="inlineStr">
        <is>
          <t>South</t>
        </is>
      </c>
      <c r="D99" t="inlineStr">
        <is>
          <t>Online</t>
        </is>
      </c>
      <c r="E99" t="inlineStr">
        <is>
          <t>Clothing</t>
        </is>
      </c>
      <c r="F99" t="inlineStr">
        <is>
          <t>Jacket</t>
        </is>
      </c>
      <c r="G99" t="inlineStr">
        <is>
          <t>Brown</t>
        </is>
      </c>
      <c r="H99" t="n">
        <v>2</v>
      </c>
      <c r="I99" t="n">
        <v>33.97</v>
      </c>
      <c r="J99" t="n">
        <v>67.94</v>
      </c>
    </row>
    <row r="100">
      <c r="A100" t="n">
        <v>1096</v>
      </c>
      <c r="B100" t="inlineStr">
        <is>
          <t>May</t>
        </is>
      </c>
      <c r="C100" t="inlineStr">
        <is>
          <t>West</t>
        </is>
      </c>
      <c r="D100" t="inlineStr">
        <is>
          <t>In-Store</t>
        </is>
      </c>
      <c r="E100" t="inlineStr">
        <is>
          <t>Clothing</t>
        </is>
      </c>
      <c r="F100" t="inlineStr">
        <is>
          <t>T-Shirt</t>
        </is>
      </c>
      <c r="G100" t="inlineStr">
        <is>
          <t>Adams</t>
        </is>
      </c>
      <c r="H100" t="n">
        <v>12</v>
      </c>
      <c r="I100" t="n">
        <v>45.91</v>
      </c>
      <c r="J100" t="n">
        <v>550.92</v>
      </c>
    </row>
    <row r="101">
      <c r="A101" t="n">
        <v>1097</v>
      </c>
      <c r="B101" t="inlineStr">
        <is>
          <t>Apr</t>
        </is>
      </c>
      <c r="C101" t="inlineStr">
        <is>
          <t>North</t>
        </is>
      </c>
      <c r="D101" t="inlineStr">
        <is>
          <t>Online</t>
        </is>
      </c>
      <c r="E101" t="inlineStr">
        <is>
          <t>Clothing</t>
        </is>
      </c>
      <c r="F101" t="inlineStr">
        <is>
          <t>Jeans</t>
        </is>
      </c>
      <c r="G101" t="inlineStr">
        <is>
          <t>Evans</t>
        </is>
      </c>
      <c r="H101" t="n">
        <v>12</v>
      </c>
      <c r="I101" t="n">
        <v>70.68000000000001</v>
      </c>
      <c r="J101" t="n">
        <v>848.16</v>
      </c>
    </row>
    <row r="102">
      <c r="A102" t="n">
        <v>1098</v>
      </c>
      <c r="B102" t="inlineStr">
        <is>
          <t>Feb</t>
        </is>
      </c>
      <c r="C102" t="inlineStr">
        <is>
          <t>South</t>
        </is>
      </c>
      <c r="D102" t="inlineStr">
        <is>
          <t>In-Store</t>
        </is>
      </c>
      <c r="E102" t="inlineStr">
        <is>
          <t>Sports</t>
        </is>
      </c>
      <c r="F102" t="inlineStr">
        <is>
          <t>Dumbbells</t>
        </is>
      </c>
      <c r="G102" t="inlineStr">
        <is>
          <t>Chen</t>
        </is>
      </c>
      <c r="H102" t="n">
        <v>9</v>
      </c>
      <c r="I102" t="n">
        <v>61.02</v>
      </c>
      <c r="J102" t="n">
        <v>549.1799999999999</v>
      </c>
    </row>
    <row r="103">
      <c r="A103" t="n">
        <v>1099</v>
      </c>
      <c r="B103" t="inlineStr">
        <is>
          <t>May</t>
        </is>
      </c>
      <c r="C103" t="inlineStr">
        <is>
          <t>East</t>
        </is>
      </c>
      <c r="D103" t="inlineStr">
        <is>
          <t>In-Store</t>
        </is>
      </c>
      <c r="E103" t="inlineStr">
        <is>
          <t>Electronics</t>
        </is>
      </c>
      <c r="F103" t="inlineStr">
        <is>
          <t>Headphones</t>
        </is>
      </c>
      <c r="G103" t="inlineStr">
        <is>
          <t>Brown</t>
        </is>
      </c>
      <c r="H103" t="n">
        <v>5</v>
      </c>
      <c r="I103" t="n">
        <v>57.35</v>
      </c>
      <c r="J103" t="n">
        <v>286.75</v>
      </c>
    </row>
    <row r="104">
      <c r="A104" t="n">
        <v>1100</v>
      </c>
      <c r="B104" t="inlineStr">
        <is>
          <t>May</t>
        </is>
      </c>
      <c r="C104" t="inlineStr">
        <is>
          <t>West</t>
        </is>
      </c>
      <c r="D104" t="inlineStr">
        <is>
          <t>In-Store</t>
        </is>
      </c>
      <c r="E104" t="inlineStr">
        <is>
          <t>Toys</t>
        </is>
      </c>
      <c r="F104" t="inlineStr">
        <is>
          <t>Board Game</t>
        </is>
      </c>
      <c r="G104" t="inlineStr">
        <is>
          <t>Brown</t>
        </is>
      </c>
      <c r="H104" t="n">
        <v>5</v>
      </c>
      <c r="I104" t="n">
        <v>33.29</v>
      </c>
      <c r="J104" t="n">
        <v>166.45</v>
      </c>
    </row>
    <row r="105">
      <c r="A105" t="n">
        <v>1101</v>
      </c>
      <c r="B105" t="inlineStr">
        <is>
          <t>Mar</t>
        </is>
      </c>
      <c r="C105" t="inlineStr">
        <is>
          <t>East</t>
        </is>
      </c>
      <c r="D105" t="inlineStr">
        <is>
          <t>Online</t>
        </is>
      </c>
      <c r="E105" t="inlineStr">
        <is>
          <t>Sports</t>
        </is>
      </c>
      <c r="F105" t="inlineStr">
        <is>
          <t>Yoga Mat</t>
        </is>
      </c>
      <c r="G105" t="inlineStr">
        <is>
          <t>Brown</t>
        </is>
      </c>
      <c r="H105" t="n">
        <v>12</v>
      </c>
      <c r="I105" t="n">
        <v>116.73</v>
      </c>
      <c r="J105" t="n">
        <v>1400.76</v>
      </c>
    </row>
    <row r="106">
      <c r="A106" t="n">
        <v>1102</v>
      </c>
      <c r="B106" t="inlineStr">
        <is>
          <t>Mar</t>
        </is>
      </c>
      <c r="C106" t="inlineStr">
        <is>
          <t>North</t>
        </is>
      </c>
      <c r="D106" t="inlineStr">
        <is>
          <t>Online</t>
        </is>
      </c>
      <c r="E106" t="inlineStr">
        <is>
          <t>Clothing</t>
        </is>
      </c>
      <c r="F106" t="inlineStr">
        <is>
          <t>T-Shirt</t>
        </is>
      </c>
      <c r="G106" t="inlineStr">
        <is>
          <t>Hughes</t>
        </is>
      </c>
      <c r="H106" t="n">
        <v>11</v>
      </c>
      <c r="I106" t="n">
        <v>94.95999999999999</v>
      </c>
      <c r="J106" t="n">
        <v>1044.56</v>
      </c>
    </row>
    <row r="107">
      <c r="A107" t="n">
        <v>1103</v>
      </c>
      <c r="B107" t="inlineStr">
        <is>
          <t>May</t>
        </is>
      </c>
      <c r="C107" t="inlineStr">
        <is>
          <t>West</t>
        </is>
      </c>
      <c r="D107" t="inlineStr">
        <is>
          <t>In-Store</t>
        </is>
      </c>
      <c r="E107" t="inlineStr">
        <is>
          <t>Sports</t>
        </is>
      </c>
      <c r="F107" t="inlineStr">
        <is>
          <t>Running Shoes</t>
        </is>
      </c>
      <c r="G107" t="inlineStr">
        <is>
          <t>Brown</t>
        </is>
      </c>
      <c r="H107" t="n">
        <v>3</v>
      </c>
      <c r="I107" t="n">
        <v>119.93</v>
      </c>
      <c r="J107" t="n">
        <v>359.79</v>
      </c>
    </row>
    <row r="108">
      <c r="A108" t="n">
        <v>1104</v>
      </c>
      <c r="B108" t="inlineStr">
        <is>
          <t>Jun</t>
        </is>
      </c>
      <c r="C108" t="inlineStr">
        <is>
          <t>North</t>
        </is>
      </c>
      <c r="D108" t="inlineStr">
        <is>
          <t>Online</t>
        </is>
      </c>
      <c r="E108" t="inlineStr">
        <is>
          <t>Toys</t>
        </is>
      </c>
      <c r="F108" t="inlineStr">
        <is>
          <t>Board Game</t>
        </is>
      </c>
      <c r="G108" t="inlineStr">
        <is>
          <t>Flores</t>
        </is>
      </c>
      <c r="H108" t="n">
        <v>6</v>
      </c>
      <c r="I108" t="n">
        <v>21.93</v>
      </c>
      <c r="J108" t="n">
        <v>131.58</v>
      </c>
    </row>
    <row r="109">
      <c r="A109" t="n">
        <v>1105</v>
      </c>
      <c r="B109" t="inlineStr">
        <is>
          <t>May</t>
        </is>
      </c>
      <c r="C109" t="inlineStr">
        <is>
          <t>North</t>
        </is>
      </c>
      <c r="D109" t="inlineStr">
        <is>
          <t>In-Store</t>
        </is>
      </c>
      <c r="E109" t="inlineStr">
        <is>
          <t>Toys</t>
        </is>
      </c>
      <c r="F109" t="inlineStr">
        <is>
          <t>Building Set</t>
        </is>
      </c>
      <c r="G109" t="inlineStr">
        <is>
          <t>Brown</t>
        </is>
      </c>
      <c r="H109" t="n">
        <v>7</v>
      </c>
      <c r="I109" t="n">
        <v>17.24</v>
      </c>
      <c r="J109" t="n">
        <v>120.68</v>
      </c>
    </row>
    <row r="110">
      <c r="A110" t="n">
        <v>1106</v>
      </c>
      <c r="B110" t="inlineStr">
        <is>
          <t>May</t>
        </is>
      </c>
      <c r="C110" t="inlineStr">
        <is>
          <t>North</t>
        </is>
      </c>
      <c r="D110" t="inlineStr">
        <is>
          <t>In-Store</t>
        </is>
      </c>
      <c r="E110" t="inlineStr">
        <is>
          <t>Home</t>
        </is>
      </c>
      <c r="F110" t="inlineStr">
        <is>
          <t>Mug Set</t>
        </is>
      </c>
      <c r="G110" t="inlineStr">
        <is>
          <t>Gupta</t>
        </is>
      </c>
      <c r="H110" t="n">
        <v>7</v>
      </c>
      <c r="I110" t="n">
        <v>28.04</v>
      </c>
      <c r="J110" t="n">
        <v>196.28</v>
      </c>
    </row>
    <row r="111">
      <c r="A111" t="n">
        <v>1107</v>
      </c>
      <c r="B111" t="inlineStr">
        <is>
          <t>Apr</t>
        </is>
      </c>
      <c r="C111" t="inlineStr">
        <is>
          <t>West</t>
        </is>
      </c>
      <c r="D111" t="inlineStr">
        <is>
          <t>Online</t>
        </is>
      </c>
      <c r="E111" t="inlineStr">
        <is>
          <t>Electronics</t>
        </is>
      </c>
      <c r="F111" t="inlineStr">
        <is>
          <t>Smart Speaker</t>
        </is>
      </c>
      <c r="G111" t="inlineStr">
        <is>
          <t>Davies</t>
        </is>
      </c>
      <c r="H111" t="n">
        <v>10</v>
      </c>
      <c r="I111" t="n">
        <v>126.1</v>
      </c>
      <c r="J111" t="n">
        <v>1261</v>
      </c>
    </row>
    <row r="112">
      <c r="A112" t="n">
        <v>1108</v>
      </c>
      <c r="B112" t="inlineStr">
        <is>
          <t>Jun</t>
        </is>
      </c>
      <c r="C112" t="inlineStr">
        <is>
          <t>West</t>
        </is>
      </c>
      <c r="D112" t="inlineStr">
        <is>
          <t>Online</t>
        </is>
      </c>
      <c r="E112" t="inlineStr">
        <is>
          <t>Home</t>
        </is>
      </c>
      <c r="F112" t="inlineStr">
        <is>
          <t>Cushion</t>
        </is>
      </c>
      <c r="G112" t="inlineStr">
        <is>
          <t>Adams</t>
        </is>
      </c>
      <c r="H112" t="n">
        <v>8</v>
      </c>
      <c r="I112" t="n">
        <v>65.52</v>
      </c>
      <c r="J112" t="n">
        <v>524.16</v>
      </c>
    </row>
    <row r="113">
      <c r="A113" t="n">
        <v>1109</v>
      </c>
      <c r="B113" t="inlineStr">
        <is>
          <t>May</t>
        </is>
      </c>
      <c r="C113" t="inlineStr">
        <is>
          <t>North</t>
        </is>
      </c>
      <c r="D113" t="inlineStr">
        <is>
          <t>In-Store</t>
        </is>
      </c>
      <c r="E113" t="inlineStr">
        <is>
          <t>Sports</t>
        </is>
      </c>
      <c r="F113" t="inlineStr">
        <is>
          <t>Dumbbells</t>
        </is>
      </c>
      <c r="G113" t="inlineStr">
        <is>
          <t>Brown</t>
        </is>
      </c>
      <c r="H113" t="n">
        <v>5</v>
      </c>
      <c r="I113" t="n">
        <v>95.17</v>
      </c>
      <c r="J113" t="n">
        <v>475.85</v>
      </c>
    </row>
    <row r="114">
      <c r="A114" t="n">
        <v>1110</v>
      </c>
      <c r="B114" t="inlineStr">
        <is>
          <t>Jun</t>
        </is>
      </c>
      <c r="C114" t="inlineStr">
        <is>
          <t>South</t>
        </is>
      </c>
      <c r="D114" t="inlineStr">
        <is>
          <t>In-Store</t>
        </is>
      </c>
      <c r="E114" t="inlineStr">
        <is>
          <t>Clothing</t>
        </is>
      </c>
      <c r="F114" t="inlineStr">
        <is>
          <t>T-Shirt</t>
        </is>
      </c>
      <c r="G114" t="inlineStr">
        <is>
          <t>Evans</t>
        </is>
      </c>
      <c r="H114" t="n">
        <v>2</v>
      </c>
      <c r="I114" t="n">
        <v>50.3</v>
      </c>
      <c r="J114" t="n">
        <v>100.6</v>
      </c>
    </row>
    <row r="115">
      <c r="A115" t="n">
        <v>1111</v>
      </c>
      <c r="B115" t="inlineStr">
        <is>
          <t>Apr</t>
        </is>
      </c>
      <c r="C115" t="inlineStr">
        <is>
          <t>South</t>
        </is>
      </c>
      <c r="D115" t="inlineStr">
        <is>
          <t>In-Store</t>
        </is>
      </c>
      <c r="E115" t="inlineStr">
        <is>
          <t>Sports</t>
        </is>
      </c>
      <c r="F115" t="inlineStr">
        <is>
          <t>Water Bottle</t>
        </is>
      </c>
      <c r="G115" t="inlineStr">
        <is>
          <t>Chen</t>
        </is>
      </c>
      <c r="H115" t="n">
        <v>8</v>
      </c>
      <c r="I115" t="n">
        <v>59.86</v>
      </c>
      <c r="J115" t="n">
        <v>478.88</v>
      </c>
    </row>
    <row r="116">
      <c r="A116" t="n">
        <v>1112</v>
      </c>
      <c r="B116" t="inlineStr">
        <is>
          <t>Jun</t>
        </is>
      </c>
      <c r="C116" t="inlineStr">
        <is>
          <t>South</t>
        </is>
      </c>
      <c r="D116" t="inlineStr">
        <is>
          <t>Online</t>
        </is>
      </c>
      <c r="E116" t="inlineStr">
        <is>
          <t>Toys</t>
        </is>
      </c>
      <c r="F116" t="inlineStr">
        <is>
          <t>Action Figure</t>
        </is>
      </c>
      <c r="G116" t="inlineStr">
        <is>
          <t>Evans</t>
        </is>
      </c>
      <c r="H116" t="n">
        <v>9</v>
      </c>
      <c r="I116" t="n">
        <v>41.95</v>
      </c>
      <c r="J116" t="n">
        <v>377.55</v>
      </c>
    </row>
    <row r="117">
      <c r="A117" t="n">
        <v>1113</v>
      </c>
      <c r="B117" t="inlineStr">
        <is>
          <t>Mar</t>
        </is>
      </c>
      <c r="C117" t="inlineStr">
        <is>
          <t>North</t>
        </is>
      </c>
      <c r="D117" t="inlineStr">
        <is>
          <t>In-Store</t>
        </is>
      </c>
      <c r="E117" t="inlineStr">
        <is>
          <t>Toys</t>
        </is>
      </c>
      <c r="F117" t="inlineStr">
        <is>
          <t>Board Game</t>
        </is>
      </c>
      <c r="G117" t="inlineStr">
        <is>
          <t>Evans</t>
        </is>
      </c>
      <c r="H117" t="n">
        <v>9</v>
      </c>
      <c r="I117" t="n">
        <v>42.44</v>
      </c>
      <c r="J117" t="n">
        <v>381.96</v>
      </c>
    </row>
    <row r="118">
      <c r="A118" t="n">
        <v>1114</v>
      </c>
      <c r="B118" t="inlineStr">
        <is>
          <t>May</t>
        </is>
      </c>
      <c r="C118" t="inlineStr">
        <is>
          <t>West</t>
        </is>
      </c>
      <c r="D118" t="inlineStr">
        <is>
          <t>In-Store</t>
        </is>
      </c>
      <c r="E118" t="inlineStr">
        <is>
          <t>Sports</t>
        </is>
      </c>
      <c r="F118" t="inlineStr">
        <is>
          <t>Running Shoes</t>
        </is>
      </c>
      <c r="G118" t="inlineStr">
        <is>
          <t>Flores</t>
        </is>
      </c>
      <c r="H118" t="n">
        <v>8</v>
      </c>
      <c r="I118" t="n">
        <v>113.83</v>
      </c>
      <c r="J118" t="n">
        <v>910.64</v>
      </c>
    </row>
    <row r="119">
      <c r="A119" t="n">
        <v>1115</v>
      </c>
      <c r="B119" t="inlineStr">
        <is>
          <t>Feb</t>
        </is>
      </c>
      <c r="C119" t="inlineStr">
        <is>
          <t>South</t>
        </is>
      </c>
      <c r="D119" t="inlineStr">
        <is>
          <t>In-Store</t>
        </is>
      </c>
      <c r="E119" t="inlineStr">
        <is>
          <t>Sports</t>
        </is>
      </c>
      <c r="F119" t="inlineStr">
        <is>
          <t>Running Shoes</t>
        </is>
      </c>
      <c r="G119" t="inlineStr">
        <is>
          <t>Davies</t>
        </is>
      </c>
      <c r="H119" t="n">
        <v>6</v>
      </c>
      <c r="I119" t="n">
        <v>64.64</v>
      </c>
      <c r="J119" t="n">
        <v>387.84</v>
      </c>
    </row>
    <row r="120">
      <c r="A120" t="n">
        <v>1116</v>
      </c>
      <c r="B120" t="inlineStr">
        <is>
          <t>Jun</t>
        </is>
      </c>
      <c r="C120" t="inlineStr">
        <is>
          <t>West</t>
        </is>
      </c>
      <c r="D120" t="inlineStr">
        <is>
          <t>In-Store</t>
        </is>
      </c>
      <c r="E120" t="inlineStr">
        <is>
          <t>Toys</t>
        </is>
      </c>
      <c r="F120" t="inlineStr">
        <is>
          <t>Puzzle</t>
        </is>
      </c>
      <c r="G120" t="inlineStr">
        <is>
          <t>Chen</t>
        </is>
      </c>
      <c r="H120" t="n">
        <v>8</v>
      </c>
      <c r="I120" t="n">
        <v>18.41</v>
      </c>
      <c r="J120" t="n">
        <v>147.28</v>
      </c>
    </row>
    <row r="121">
      <c r="A121" t="n">
        <v>1117</v>
      </c>
      <c r="B121" t="inlineStr">
        <is>
          <t>Mar</t>
        </is>
      </c>
      <c r="C121" t="inlineStr">
        <is>
          <t>North</t>
        </is>
      </c>
      <c r="D121" t="inlineStr">
        <is>
          <t>In-Store</t>
        </is>
      </c>
      <c r="E121" t="inlineStr">
        <is>
          <t>Toys</t>
        </is>
      </c>
      <c r="F121" t="inlineStr">
        <is>
          <t>Puzzle</t>
        </is>
      </c>
      <c r="G121" t="inlineStr">
        <is>
          <t>Brown</t>
        </is>
      </c>
      <c r="H121" t="n">
        <v>10</v>
      </c>
      <c r="I121" t="n">
        <v>10.92</v>
      </c>
      <c r="J121" t="n">
        <v>109.2</v>
      </c>
    </row>
    <row r="122">
      <c r="A122" t="n">
        <v>1118</v>
      </c>
      <c r="B122" t="inlineStr">
        <is>
          <t>Apr</t>
        </is>
      </c>
      <c r="C122" t="inlineStr">
        <is>
          <t>South</t>
        </is>
      </c>
      <c r="D122" t="inlineStr">
        <is>
          <t>Online</t>
        </is>
      </c>
      <c r="E122" t="inlineStr">
        <is>
          <t>Sports</t>
        </is>
      </c>
      <c r="F122" t="inlineStr">
        <is>
          <t>Running Shoes</t>
        </is>
      </c>
      <c r="G122" t="inlineStr">
        <is>
          <t>Hughes</t>
        </is>
      </c>
      <c r="H122" t="n">
        <v>3</v>
      </c>
      <c r="I122" t="n">
        <v>11.84</v>
      </c>
      <c r="J122" t="n">
        <v>35.52</v>
      </c>
    </row>
    <row r="123">
      <c r="A123" t="n">
        <v>1119</v>
      </c>
      <c r="B123" t="inlineStr">
        <is>
          <t>Jun</t>
        </is>
      </c>
      <c r="C123" t="inlineStr">
        <is>
          <t>North</t>
        </is>
      </c>
      <c r="D123" t="inlineStr">
        <is>
          <t>In-Store</t>
        </is>
      </c>
      <c r="E123" t="inlineStr">
        <is>
          <t>Home</t>
        </is>
      </c>
      <c r="F123" t="inlineStr">
        <is>
          <t>Mug Set</t>
        </is>
      </c>
      <c r="G123" t="inlineStr">
        <is>
          <t>Gupta</t>
        </is>
      </c>
      <c r="H123" t="n">
        <v>7</v>
      </c>
      <c r="I123" t="n">
        <v>46.64</v>
      </c>
      <c r="J123" t="n">
        <v>326.48</v>
      </c>
    </row>
    <row r="124">
      <c r="A124" t="n">
        <v>1120</v>
      </c>
      <c r="B124" t="inlineStr">
        <is>
          <t>May</t>
        </is>
      </c>
      <c r="C124" t="inlineStr">
        <is>
          <t>North</t>
        </is>
      </c>
      <c r="D124" t="inlineStr">
        <is>
          <t>Online</t>
        </is>
      </c>
      <c r="E124" t="inlineStr">
        <is>
          <t>Home</t>
        </is>
      </c>
      <c r="F124" t="inlineStr">
        <is>
          <t>Throw</t>
        </is>
      </c>
      <c r="G124" t="inlineStr">
        <is>
          <t>Evans</t>
        </is>
      </c>
      <c r="H124" t="n">
        <v>1</v>
      </c>
      <c r="I124" t="n">
        <v>62.09</v>
      </c>
      <c r="J124" t="n">
        <v>62.09</v>
      </c>
    </row>
    <row r="125">
      <c r="A125" t="n">
        <v>1121</v>
      </c>
      <c r="B125" t="inlineStr">
        <is>
          <t>Jun</t>
        </is>
      </c>
      <c r="C125" t="inlineStr">
        <is>
          <t>North</t>
        </is>
      </c>
      <c r="D125" t="inlineStr">
        <is>
          <t>In-Store</t>
        </is>
      </c>
      <c r="E125" t="inlineStr">
        <is>
          <t>Clothing</t>
        </is>
      </c>
      <c r="F125" t="inlineStr">
        <is>
          <t>T-Shirt</t>
        </is>
      </c>
      <c r="G125" t="inlineStr">
        <is>
          <t>Chen</t>
        </is>
      </c>
      <c r="H125" t="n">
        <v>2</v>
      </c>
      <c r="I125" t="n">
        <v>48.02</v>
      </c>
      <c r="J125" t="n">
        <v>96.04000000000001</v>
      </c>
    </row>
    <row r="126">
      <c r="A126" t="n">
        <v>1122</v>
      </c>
      <c r="B126" t="inlineStr">
        <is>
          <t>Mar</t>
        </is>
      </c>
      <c r="C126" t="inlineStr">
        <is>
          <t>East</t>
        </is>
      </c>
      <c r="D126" t="inlineStr">
        <is>
          <t>In-Store</t>
        </is>
      </c>
      <c r="E126" t="inlineStr">
        <is>
          <t>Home</t>
        </is>
      </c>
      <c r="F126" t="inlineStr">
        <is>
          <t>Lamp</t>
        </is>
      </c>
      <c r="G126" t="inlineStr">
        <is>
          <t>Gupta</t>
        </is>
      </c>
      <c r="H126" t="n">
        <v>1</v>
      </c>
      <c r="I126" t="n">
        <v>10.85</v>
      </c>
      <c r="J126" t="n">
        <v>10.85</v>
      </c>
    </row>
    <row r="127">
      <c r="A127" t="n">
        <v>1123</v>
      </c>
      <c r="B127" t="inlineStr">
        <is>
          <t>Jun</t>
        </is>
      </c>
      <c r="C127" t="inlineStr">
        <is>
          <t>South</t>
        </is>
      </c>
      <c r="D127" t="inlineStr">
        <is>
          <t>Online</t>
        </is>
      </c>
      <c r="E127" t="inlineStr">
        <is>
          <t>Clothing</t>
        </is>
      </c>
      <c r="F127" t="inlineStr">
        <is>
          <t>Jacket</t>
        </is>
      </c>
      <c r="G127" t="inlineStr">
        <is>
          <t>Chen</t>
        </is>
      </c>
      <c r="H127" t="n">
        <v>10</v>
      </c>
      <c r="I127" t="n">
        <v>56.09</v>
      </c>
      <c r="J127" t="n">
        <v>560.9</v>
      </c>
    </row>
    <row r="128">
      <c r="A128" t="n">
        <v>1124</v>
      </c>
      <c r="B128" t="inlineStr">
        <is>
          <t>Apr</t>
        </is>
      </c>
      <c r="C128" t="inlineStr">
        <is>
          <t>South</t>
        </is>
      </c>
      <c r="D128" t="inlineStr">
        <is>
          <t>Online</t>
        </is>
      </c>
      <c r="E128" t="inlineStr">
        <is>
          <t>Electronics</t>
        </is>
      </c>
      <c r="F128" t="inlineStr">
        <is>
          <t>Charger</t>
        </is>
      </c>
      <c r="G128" t="inlineStr">
        <is>
          <t>Hughes</t>
        </is>
      </c>
      <c r="H128" t="n">
        <v>4</v>
      </c>
      <c r="I128" t="n">
        <v>145.84</v>
      </c>
      <c r="J128" t="n">
        <v>583.36</v>
      </c>
    </row>
    <row r="129">
      <c r="A129" t="n">
        <v>1125</v>
      </c>
      <c r="B129" t="inlineStr">
        <is>
          <t>Apr</t>
        </is>
      </c>
      <c r="C129" t="inlineStr">
        <is>
          <t>East</t>
        </is>
      </c>
      <c r="D129" t="inlineStr">
        <is>
          <t>Online</t>
        </is>
      </c>
      <c r="E129" t="inlineStr">
        <is>
          <t>Home</t>
        </is>
      </c>
      <c r="F129" t="inlineStr">
        <is>
          <t>Throw</t>
        </is>
      </c>
      <c r="G129" t="inlineStr">
        <is>
          <t>Brown</t>
        </is>
      </c>
      <c r="H129" t="n">
        <v>1</v>
      </c>
      <c r="I129" t="n">
        <v>23.83</v>
      </c>
      <c r="J129" t="n">
        <v>23.83</v>
      </c>
    </row>
    <row r="130">
      <c r="A130" t="n">
        <v>1126</v>
      </c>
      <c r="B130" t="inlineStr">
        <is>
          <t>Jun</t>
        </is>
      </c>
      <c r="C130" t="inlineStr">
        <is>
          <t>West</t>
        </is>
      </c>
      <c r="D130" t="inlineStr">
        <is>
          <t>In-Store</t>
        </is>
      </c>
      <c r="E130" t="inlineStr">
        <is>
          <t>Toys</t>
        </is>
      </c>
      <c r="F130" t="inlineStr">
        <is>
          <t>Board Game</t>
        </is>
      </c>
      <c r="G130" t="inlineStr">
        <is>
          <t>Hughes</t>
        </is>
      </c>
      <c r="H130" t="n">
        <v>5</v>
      </c>
      <c r="I130" t="n">
        <v>44.52</v>
      </c>
      <c r="J130" t="n">
        <v>222.6</v>
      </c>
    </row>
    <row r="131">
      <c r="A131" t="n">
        <v>1127</v>
      </c>
      <c r="B131" t="inlineStr">
        <is>
          <t>Jan</t>
        </is>
      </c>
      <c r="C131" t="inlineStr">
        <is>
          <t>South</t>
        </is>
      </c>
      <c r="D131" t="inlineStr">
        <is>
          <t>In-Store</t>
        </is>
      </c>
      <c r="E131" t="inlineStr">
        <is>
          <t>Home</t>
        </is>
      </c>
      <c r="F131" t="inlineStr">
        <is>
          <t>Cushion</t>
        </is>
      </c>
      <c r="G131" t="inlineStr">
        <is>
          <t>Flores</t>
        </is>
      </c>
      <c r="H131" t="n">
        <v>8</v>
      </c>
      <c r="I131" t="n">
        <v>69.95999999999999</v>
      </c>
      <c r="J131" t="n">
        <v>559.6799999999999</v>
      </c>
    </row>
    <row r="132">
      <c r="A132" t="n">
        <v>1128</v>
      </c>
      <c r="B132" t="inlineStr">
        <is>
          <t>Jan</t>
        </is>
      </c>
      <c r="C132" t="inlineStr">
        <is>
          <t>West</t>
        </is>
      </c>
      <c r="D132" t="inlineStr">
        <is>
          <t>In-Store</t>
        </is>
      </c>
      <c r="E132" t="inlineStr">
        <is>
          <t>Sports</t>
        </is>
      </c>
      <c r="F132" t="inlineStr">
        <is>
          <t>Water Bottle</t>
        </is>
      </c>
      <c r="G132" t="inlineStr">
        <is>
          <t>Adams</t>
        </is>
      </c>
      <c r="H132" t="n">
        <v>5</v>
      </c>
      <c r="I132" t="n">
        <v>129.12</v>
      </c>
      <c r="J132" t="n">
        <v>645.6</v>
      </c>
    </row>
    <row r="133">
      <c r="A133" t="n">
        <v>1129</v>
      </c>
      <c r="B133" t="inlineStr">
        <is>
          <t>Apr</t>
        </is>
      </c>
      <c r="C133" t="inlineStr">
        <is>
          <t>East</t>
        </is>
      </c>
      <c r="D133" t="inlineStr">
        <is>
          <t>Online</t>
        </is>
      </c>
      <c r="E133" t="inlineStr">
        <is>
          <t>Sports</t>
        </is>
      </c>
      <c r="F133" t="inlineStr">
        <is>
          <t>Yoga Mat</t>
        </is>
      </c>
      <c r="G133" t="inlineStr">
        <is>
          <t>Flores</t>
        </is>
      </c>
      <c r="H133" t="n">
        <v>12</v>
      </c>
      <c r="I133" t="n">
        <v>119.27</v>
      </c>
      <c r="J133" t="n">
        <v>1431.24</v>
      </c>
    </row>
    <row r="134">
      <c r="A134" t="n">
        <v>1130</v>
      </c>
      <c r="B134" t="inlineStr">
        <is>
          <t>Jun</t>
        </is>
      </c>
      <c r="C134" t="inlineStr">
        <is>
          <t>South</t>
        </is>
      </c>
      <c r="D134" t="inlineStr">
        <is>
          <t>Online</t>
        </is>
      </c>
      <c r="E134" t="inlineStr">
        <is>
          <t>Clothing</t>
        </is>
      </c>
      <c r="F134" t="inlineStr">
        <is>
          <t>Jacket</t>
        </is>
      </c>
      <c r="G134" t="inlineStr">
        <is>
          <t>Adams</t>
        </is>
      </c>
      <c r="H134" t="n">
        <v>11</v>
      </c>
      <c r="I134" t="n">
        <v>63.53</v>
      </c>
      <c r="J134" t="n">
        <v>698.83</v>
      </c>
    </row>
    <row r="135">
      <c r="A135" t="n">
        <v>1131</v>
      </c>
      <c r="B135" t="inlineStr">
        <is>
          <t>Jun</t>
        </is>
      </c>
      <c r="C135" t="inlineStr">
        <is>
          <t>South</t>
        </is>
      </c>
      <c r="D135" t="inlineStr">
        <is>
          <t>Online</t>
        </is>
      </c>
      <c r="E135" t="inlineStr">
        <is>
          <t>Home</t>
        </is>
      </c>
      <c r="F135" t="inlineStr">
        <is>
          <t>Throw</t>
        </is>
      </c>
      <c r="G135" t="inlineStr">
        <is>
          <t>Evans</t>
        </is>
      </c>
      <c r="H135" t="n">
        <v>6</v>
      </c>
      <c r="I135" t="n">
        <v>10.07</v>
      </c>
      <c r="J135" t="n">
        <v>60.42</v>
      </c>
    </row>
    <row r="136">
      <c r="A136" t="n">
        <v>1132</v>
      </c>
      <c r="B136" t="inlineStr">
        <is>
          <t>May</t>
        </is>
      </c>
      <c r="C136" t="inlineStr">
        <is>
          <t>East</t>
        </is>
      </c>
      <c r="D136" t="inlineStr">
        <is>
          <t>In-Store</t>
        </is>
      </c>
      <c r="E136" t="inlineStr">
        <is>
          <t>Home</t>
        </is>
      </c>
      <c r="F136" t="inlineStr">
        <is>
          <t>Throw</t>
        </is>
      </c>
      <c r="G136" t="inlineStr">
        <is>
          <t>Chen</t>
        </is>
      </c>
      <c r="H136" t="n">
        <v>3</v>
      </c>
      <c r="I136" t="n">
        <v>18.89</v>
      </c>
      <c r="J136" t="n">
        <v>56.67</v>
      </c>
    </row>
    <row r="137">
      <c r="A137" t="n">
        <v>1133</v>
      </c>
      <c r="B137" t="inlineStr">
        <is>
          <t>Jun</t>
        </is>
      </c>
      <c r="C137" t="inlineStr">
        <is>
          <t>East</t>
        </is>
      </c>
      <c r="D137" t="inlineStr">
        <is>
          <t>Online</t>
        </is>
      </c>
      <c r="E137" t="inlineStr">
        <is>
          <t>Home</t>
        </is>
      </c>
      <c r="F137" t="inlineStr">
        <is>
          <t>Throw</t>
        </is>
      </c>
      <c r="G137" t="inlineStr">
        <is>
          <t>Hughes</t>
        </is>
      </c>
      <c r="H137" t="n">
        <v>5</v>
      </c>
      <c r="I137" t="n">
        <v>67.98</v>
      </c>
      <c r="J137" t="n">
        <v>339.9</v>
      </c>
    </row>
    <row r="138">
      <c r="A138" t="n">
        <v>1134</v>
      </c>
      <c r="B138" t="inlineStr">
        <is>
          <t>Jun</t>
        </is>
      </c>
      <c r="C138" t="inlineStr">
        <is>
          <t>West</t>
        </is>
      </c>
      <c r="D138" t="inlineStr">
        <is>
          <t>In-Store</t>
        </is>
      </c>
      <c r="E138" t="inlineStr">
        <is>
          <t>Electronics</t>
        </is>
      </c>
      <c r="F138" t="inlineStr">
        <is>
          <t>Smart Speaker</t>
        </is>
      </c>
      <c r="G138" t="inlineStr">
        <is>
          <t>Brown</t>
        </is>
      </c>
      <c r="H138" t="n">
        <v>4</v>
      </c>
      <c r="I138" t="n">
        <v>172.06</v>
      </c>
      <c r="J138" t="n">
        <v>688.24</v>
      </c>
    </row>
    <row r="139">
      <c r="A139" t="n">
        <v>1135</v>
      </c>
      <c r="B139" t="inlineStr">
        <is>
          <t>Apr</t>
        </is>
      </c>
      <c r="C139" t="inlineStr">
        <is>
          <t>East</t>
        </is>
      </c>
      <c r="D139" t="inlineStr">
        <is>
          <t>In-Store</t>
        </is>
      </c>
      <c r="E139" t="inlineStr">
        <is>
          <t>Toys</t>
        </is>
      </c>
      <c r="F139" t="inlineStr">
        <is>
          <t>Puzzle</t>
        </is>
      </c>
      <c r="G139" t="inlineStr">
        <is>
          <t>Gupta</t>
        </is>
      </c>
      <c r="H139" t="n">
        <v>2</v>
      </c>
      <c r="I139" t="n">
        <v>16.31</v>
      </c>
      <c r="J139" t="n">
        <v>32.62</v>
      </c>
    </row>
    <row r="140">
      <c r="A140" t="n">
        <v>1136</v>
      </c>
      <c r="B140" t="inlineStr">
        <is>
          <t>Jan</t>
        </is>
      </c>
      <c r="C140" t="inlineStr">
        <is>
          <t>East</t>
        </is>
      </c>
      <c r="D140" t="inlineStr">
        <is>
          <t>Online</t>
        </is>
      </c>
      <c r="E140" t="inlineStr">
        <is>
          <t>Home</t>
        </is>
      </c>
      <c r="F140" t="inlineStr">
        <is>
          <t>Lamp</t>
        </is>
      </c>
      <c r="G140" t="inlineStr">
        <is>
          <t>Brown</t>
        </is>
      </c>
      <c r="H140" t="n">
        <v>8</v>
      </c>
      <c r="I140" t="n">
        <v>49.84</v>
      </c>
      <c r="J140" t="n">
        <v>398.72</v>
      </c>
    </row>
    <row r="141">
      <c r="A141" t="n">
        <v>1137</v>
      </c>
      <c r="B141" t="inlineStr">
        <is>
          <t>Feb</t>
        </is>
      </c>
      <c r="C141" t="inlineStr">
        <is>
          <t>North</t>
        </is>
      </c>
      <c r="D141" t="inlineStr">
        <is>
          <t>Online</t>
        </is>
      </c>
      <c r="E141" t="inlineStr">
        <is>
          <t>Toys</t>
        </is>
      </c>
      <c r="F141" t="inlineStr">
        <is>
          <t>Board Game</t>
        </is>
      </c>
      <c r="G141" t="inlineStr">
        <is>
          <t>Evans</t>
        </is>
      </c>
      <c r="H141" t="n">
        <v>2</v>
      </c>
      <c r="I141" t="n">
        <v>31.32</v>
      </c>
      <c r="J141" t="n">
        <v>62.64</v>
      </c>
    </row>
    <row r="142">
      <c r="A142" t="n">
        <v>1138</v>
      </c>
      <c r="B142" t="inlineStr">
        <is>
          <t>Feb</t>
        </is>
      </c>
      <c r="C142" t="inlineStr">
        <is>
          <t>West</t>
        </is>
      </c>
      <c r="D142" t="inlineStr">
        <is>
          <t>In-Store</t>
        </is>
      </c>
      <c r="E142" t="inlineStr">
        <is>
          <t>Toys</t>
        </is>
      </c>
      <c r="F142" t="inlineStr">
        <is>
          <t>Puzzle</t>
        </is>
      </c>
      <c r="G142" t="inlineStr">
        <is>
          <t>Flores</t>
        </is>
      </c>
      <c r="H142" t="n">
        <v>9</v>
      </c>
      <c r="I142" t="n">
        <v>9.789999999999999</v>
      </c>
      <c r="J142" t="n">
        <v>88.11</v>
      </c>
    </row>
    <row r="143">
      <c r="A143" t="n">
        <v>1139</v>
      </c>
      <c r="B143" t="inlineStr">
        <is>
          <t>Feb</t>
        </is>
      </c>
      <c r="C143" t="inlineStr">
        <is>
          <t>West</t>
        </is>
      </c>
      <c r="D143" t="inlineStr">
        <is>
          <t>Online</t>
        </is>
      </c>
      <c r="E143" t="inlineStr">
        <is>
          <t>Sports</t>
        </is>
      </c>
      <c r="F143" t="inlineStr">
        <is>
          <t>Running Shoes</t>
        </is>
      </c>
      <c r="G143" t="inlineStr">
        <is>
          <t>Hughes</t>
        </is>
      </c>
      <c r="H143" t="n">
        <v>12</v>
      </c>
      <c r="I143" t="n">
        <v>80.48</v>
      </c>
      <c r="J143" t="n">
        <v>965.76</v>
      </c>
    </row>
    <row r="144">
      <c r="A144" t="n">
        <v>1140</v>
      </c>
      <c r="B144" t="inlineStr">
        <is>
          <t>Jan</t>
        </is>
      </c>
      <c r="C144" t="inlineStr">
        <is>
          <t>East</t>
        </is>
      </c>
      <c r="D144" t="inlineStr">
        <is>
          <t>Online</t>
        </is>
      </c>
      <c r="E144" t="inlineStr">
        <is>
          <t>Sports</t>
        </is>
      </c>
      <c r="F144" t="inlineStr">
        <is>
          <t>Running Shoes</t>
        </is>
      </c>
      <c r="G144" t="inlineStr">
        <is>
          <t>Hughes</t>
        </is>
      </c>
      <c r="H144" t="n">
        <v>5</v>
      </c>
      <c r="I144" t="n">
        <v>122.69</v>
      </c>
      <c r="J144" t="n">
        <v>613.45</v>
      </c>
    </row>
    <row r="145">
      <c r="A145" t="n">
        <v>1141</v>
      </c>
      <c r="B145" t="inlineStr">
        <is>
          <t>Jun</t>
        </is>
      </c>
      <c r="C145" t="inlineStr">
        <is>
          <t>East</t>
        </is>
      </c>
      <c r="D145" t="inlineStr">
        <is>
          <t>In-Store</t>
        </is>
      </c>
      <c r="E145" t="inlineStr">
        <is>
          <t>Toys</t>
        </is>
      </c>
      <c r="F145" t="inlineStr">
        <is>
          <t>Action Figure</t>
        </is>
      </c>
      <c r="G145" t="inlineStr">
        <is>
          <t>Adams</t>
        </is>
      </c>
      <c r="H145" t="n">
        <v>2</v>
      </c>
      <c r="I145" t="n">
        <v>39.36</v>
      </c>
      <c r="J145" t="n">
        <v>78.72</v>
      </c>
    </row>
    <row r="146">
      <c r="A146" t="n">
        <v>1142</v>
      </c>
      <c r="B146" t="inlineStr">
        <is>
          <t>Apr</t>
        </is>
      </c>
      <c r="C146" t="inlineStr">
        <is>
          <t>North</t>
        </is>
      </c>
      <c r="D146" t="inlineStr">
        <is>
          <t>Online</t>
        </is>
      </c>
      <c r="E146" t="inlineStr">
        <is>
          <t>Toys</t>
        </is>
      </c>
      <c r="F146" t="inlineStr">
        <is>
          <t>Board Game</t>
        </is>
      </c>
      <c r="G146" t="inlineStr">
        <is>
          <t>Adams</t>
        </is>
      </c>
      <c r="H146" t="n">
        <v>2</v>
      </c>
      <c r="I146" t="n">
        <v>13.4</v>
      </c>
      <c r="J146" t="n">
        <v>26.8</v>
      </c>
    </row>
    <row r="147">
      <c r="A147" t="n">
        <v>1143</v>
      </c>
      <c r="B147" t="inlineStr">
        <is>
          <t>May</t>
        </is>
      </c>
      <c r="C147" t="inlineStr">
        <is>
          <t>South</t>
        </is>
      </c>
      <c r="D147" t="inlineStr">
        <is>
          <t>Online</t>
        </is>
      </c>
      <c r="E147" t="inlineStr">
        <is>
          <t>Electronics</t>
        </is>
      </c>
      <c r="F147" t="inlineStr">
        <is>
          <t>Tablet</t>
        </is>
      </c>
      <c r="G147" t="inlineStr">
        <is>
          <t>Davies</t>
        </is>
      </c>
      <c r="H147" t="n">
        <v>3</v>
      </c>
      <c r="I147" t="n">
        <v>72.5</v>
      </c>
      <c r="J147" t="n">
        <v>217.5</v>
      </c>
    </row>
    <row r="148">
      <c r="A148" t="n">
        <v>1144</v>
      </c>
      <c r="B148" t="inlineStr">
        <is>
          <t>Mar</t>
        </is>
      </c>
      <c r="C148" t="inlineStr">
        <is>
          <t>South</t>
        </is>
      </c>
      <c r="D148" t="inlineStr">
        <is>
          <t>Online</t>
        </is>
      </c>
      <c r="E148" t="inlineStr">
        <is>
          <t>Sports</t>
        </is>
      </c>
      <c r="F148" t="inlineStr">
        <is>
          <t>Dumbbells</t>
        </is>
      </c>
      <c r="G148" t="inlineStr">
        <is>
          <t>Evans</t>
        </is>
      </c>
      <c r="H148" t="n">
        <v>4</v>
      </c>
      <c r="I148" t="n">
        <v>107.57</v>
      </c>
      <c r="J148" t="n">
        <v>430.28</v>
      </c>
    </row>
    <row r="149">
      <c r="A149" t="n">
        <v>1145</v>
      </c>
      <c r="B149" t="inlineStr">
        <is>
          <t>Jan</t>
        </is>
      </c>
      <c r="C149" t="inlineStr">
        <is>
          <t>North</t>
        </is>
      </c>
      <c r="D149" t="inlineStr">
        <is>
          <t>Online</t>
        </is>
      </c>
      <c r="E149" t="inlineStr">
        <is>
          <t>Clothing</t>
        </is>
      </c>
      <c r="F149" t="inlineStr">
        <is>
          <t>Jacket</t>
        </is>
      </c>
      <c r="G149" t="inlineStr">
        <is>
          <t>Adams</t>
        </is>
      </c>
      <c r="H149" t="n">
        <v>3</v>
      </c>
      <c r="I149" t="n">
        <v>56.84</v>
      </c>
      <c r="J149" t="n">
        <v>170.52</v>
      </c>
    </row>
    <row r="150">
      <c r="A150" t="n">
        <v>1146</v>
      </c>
      <c r="B150" t="inlineStr">
        <is>
          <t>Feb</t>
        </is>
      </c>
      <c r="C150" t="inlineStr">
        <is>
          <t>East</t>
        </is>
      </c>
      <c r="D150" t="inlineStr">
        <is>
          <t>Online</t>
        </is>
      </c>
      <c r="E150" t="inlineStr">
        <is>
          <t>Home</t>
        </is>
      </c>
      <c r="F150" t="inlineStr">
        <is>
          <t>Cushion</t>
        </is>
      </c>
      <c r="G150" t="inlineStr">
        <is>
          <t>Chen</t>
        </is>
      </c>
      <c r="H150" t="n">
        <v>1</v>
      </c>
      <c r="I150" t="n">
        <v>44.51</v>
      </c>
      <c r="J150" t="n">
        <v>44.51</v>
      </c>
    </row>
    <row r="151">
      <c r="A151" t="n">
        <v>1147</v>
      </c>
      <c r="B151" t="inlineStr">
        <is>
          <t>Apr</t>
        </is>
      </c>
      <c r="C151" t="inlineStr">
        <is>
          <t>East</t>
        </is>
      </c>
      <c r="D151" t="inlineStr">
        <is>
          <t>Online</t>
        </is>
      </c>
      <c r="E151" t="inlineStr">
        <is>
          <t>Toys</t>
        </is>
      </c>
      <c r="F151" t="inlineStr">
        <is>
          <t>Puzzle</t>
        </is>
      </c>
      <c r="G151" t="inlineStr">
        <is>
          <t>Hughes</t>
        </is>
      </c>
      <c r="H151" t="n">
        <v>8</v>
      </c>
      <c r="I151" t="n">
        <v>35.08</v>
      </c>
      <c r="J151" t="n">
        <v>280.64</v>
      </c>
    </row>
    <row r="152">
      <c r="A152" t="n">
        <v>1148</v>
      </c>
      <c r="B152" t="inlineStr">
        <is>
          <t>Jun</t>
        </is>
      </c>
      <c r="C152" t="inlineStr">
        <is>
          <t>East</t>
        </is>
      </c>
      <c r="D152" t="inlineStr">
        <is>
          <t>In-Store</t>
        </is>
      </c>
      <c r="E152" t="inlineStr">
        <is>
          <t>Sports</t>
        </is>
      </c>
      <c r="F152" t="inlineStr">
        <is>
          <t>Dumbbells</t>
        </is>
      </c>
      <c r="G152" t="inlineStr">
        <is>
          <t>Adams</t>
        </is>
      </c>
      <c r="H152" t="n">
        <v>1</v>
      </c>
      <c r="I152" t="n">
        <v>123.45</v>
      </c>
      <c r="J152" t="n">
        <v>123.45</v>
      </c>
    </row>
    <row r="153">
      <c r="A153" t="n">
        <v>1149</v>
      </c>
      <c r="B153" t="inlineStr">
        <is>
          <t>Jun</t>
        </is>
      </c>
      <c r="C153" t="inlineStr">
        <is>
          <t>North</t>
        </is>
      </c>
      <c r="D153" t="inlineStr">
        <is>
          <t>In-Store</t>
        </is>
      </c>
      <c r="E153" t="inlineStr">
        <is>
          <t>Electronics</t>
        </is>
      </c>
      <c r="F153" t="inlineStr">
        <is>
          <t>Charger</t>
        </is>
      </c>
      <c r="G153" t="inlineStr">
        <is>
          <t>Hughes</t>
        </is>
      </c>
      <c r="H153" t="n">
        <v>7</v>
      </c>
      <c r="I153" t="n">
        <v>190.22</v>
      </c>
      <c r="J153" t="n">
        <v>1331.54</v>
      </c>
    </row>
    <row r="154">
      <c r="A154" t="n">
        <v>1150</v>
      </c>
      <c r="B154" t="inlineStr">
        <is>
          <t>Jan</t>
        </is>
      </c>
      <c r="C154" t="inlineStr">
        <is>
          <t>South</t>
        </is>
      </c>
      <c r="D154" t="inlineStr">
        <is>
          <t>In-Store</t>
        </is>
      </c>
      <c r="E154" t="inlineStr">
        <is>
          <t>Electronics</t>
        </is>
      </c>
      <c r="F154" t="inlineStr">
        <is>
          <t>Headphones</t>
        </is>
      </c>
      <c r="G154" t="inlineStr">
        <is>
          <t>Flores</t>
        </is>
      </c>
      <c r="H154" t="n">
        <v>3</v>
      </c>
      <c r="I154" t="n">
        <v>87.81</v>
      </c>
      <c r="J154" t="n">
        <v>263.43</v>
      </c>
    </row>
    <row r="155">
      <c r="A155" t="n">
        <v>1151</v>
      </c>
      <c r="B155" t="inlineStr">
        <is>
          <t>Apr</t>
        </is>
      </c>
      <c r="C155" t="inlineStr">
        <is>
          <t>North</t>
        </is>
      </c>
      <c r="D155" t="inlineStr">
        <is>
          <t>Online</t>
        </is>
      </c>
      <c r="E155" t="inlineStr">
        <is>
          <t>Toys</t>
        </is>
      </c>
      <c r="F155" t="inlineStr">
        <is>
          <t>Board Game</t>
        </is>
      </c>
      <c r="G155" t="inlineStr">
        <is>
          <t>Davies</t>
        </is>
      </c>
      <c r="H155" t="n">
        <v>10</v>
      </c>
      <c r="I155" t="n">
        <v>23.69</v>
      </c>
      <c r="J155" t="n">
        <v>236.9</v>
      </c>
    </row>
    <row r="156">
      <c r="A156" t="n">
        <v>1152</v>
      </c>
      <c r="B156" t="inlineStr">
        <is>
          <t>Mar</t>
        </is>
      </c>
      <c r="C156" t="inlineStr">
        <is>
          <t>West</t>
        </is>
      </c>
      <c r="D156" t="inlineStr">
        <is>
          <t>In-Store</t>
        </is>
      </c>
      <c r="E156" t="inlineStr">
        <is>
          <t>Toys</t>
        </is>
      </c>
      <c r="F156" t="inlineStr">
        <is>
          <t>Building Set</t>
        </is>
      </c>
      <c r="G156" t="inlineStr">
        <is>
          <t>Gupta</t>
        </is>
      </c>
      <c r="H156" t="n">
        <v>7</v>
      </c>
      <c r="I156" t="n">
        <v>40.64</v>
      </c>
      <c r="J156" t="n">
        <v>284.48</v>
      </c>
    </row>
    <row r="157">
      <c r="A157" t="n">
        <v>1153</v>
      </c>
      <c r="B157" t="inlineStr">
        <is>
          <t>Mar</t>
        </is>
      </c>
      <c r="C157" t="inlineStr">
        <is>
          <t>East</t>
        </is>
      </c>
      <c r="D157" t="inlineStr">
        <is>
          <t>Online</t>
        </is>
      </c>
      <c r="E157" t="inlineStr">
        <is>
          <t>Electronics</t>
        </is>
      </c>
      <c r="F157" t="inlineStr">
        <is>
          <t>Tablet</t>
        </is>
      </c>
      <c r="G157" t="inlineStr">
        <is>
          <t>Hughes</t>
        </is>
      </c>
      <c r="H157" t="n">
        <v>11</v>
      </c>
      <c r="I157" t="n">
        <v>108.22</v>
      </c>
      <c r="J157" t="n">
        <v>1190.42</v>
      </c>
    </row>
    <row r="158">
      <c r="A158" t="n">
        <v>1154</v>
      </c>
      <c r="B158" t="inlineStr">
        <is>
          <t>Apr</t>
        </is>
      </c>
      <c r="C158" t="inlineStr">
        <is>
          <t>North</t>
        </is>
      </c>
      <c r="D158" t="inlineStr">
        <is>
          <t>In-Store</t>
        </is>
      </c>
      <c r="E158" t="inlineStr">
        <is>
          <t>Electronics</t>
        </is>
      </c>
      <c r="F158" t="inlineStr">
        <is>
          <t>Headphones</t>
        </is>
      </c>
      <c r="G158" t="inlineStr">
        <is>
          <t>Chen</t>
        </is>
      </c>
      <c r="H158" t="n">
        <v>2</v>
      </c>
      <c r="I158" t="n">
        <v>187.2</v>
      </c>
      <c r="J158" t="n">
        <v>374.4</v>
      </c>
    </row>
    <row r="159">
      <c r="A159" t="n">
        <v>1155</v>
      </c>
      <c r="B159" t="inlineStr">
        <is>
          <t>May</t>
        </is>
      </c>
      <c r="C159" t="inlineStr">
        <is>
          <t>East</t>
        </is>
      </c>
      <c r="D159" t="inlineStr">
        <is>
          <t>Online</t>
        </is>
      </c>
      <c r="E159" t="inlineStr">
        <is>
          <t>Sports</t>
        </is>
      </c>
      <c r="F159" t="inlineStr">
        <is>
          <t>Yoga Mat</t>
        </is>
      </c>
      <c r="G159" t="inlineStr">
        <is>
          <t>Gupta</t>
        </is>
      </c>
      <c r="H159" t="n">
        <v>9</v>
      </c>
      <c r="I159" t="n">
        <v>80.38</v>
      </c>
      <c r="J159" t="n">
        <v>723.42</v>
      </c>
    </row>
    <row r="160">
      <c r="A160" t="n">
        <v>1156</v>
      </c>
      <c r="B160" t="inlineStr">
        <is>
          <t>Jan</t>
        </is>
      </c>
      <c r="C160" t="inlineStr">
        <is>
          <t>East</t>
        </is>
      </c>
      <c r="D160" t="inlineStr">
        <is>
          <t>In-Store</t>
        </is>
      </c>
      <c r="E160" t="inlineStr">
        <is>
          <t>Home</t>
        </is>
      </c>
      <c r="F160" t="inlineStr">
        <is>
          <t>Throw</t>
        </is>
      </c>
      <c r="G160" t="inlineStr">
        <is>
          <t>Flores</t>
        </is>
      </c>
      <c r="H160" t="n">
        <v>12</v>
      </c>
      <c r="I160" t="n">
        <v>61.82</v>
      </c>
      <c r="J160" t="n">
        <v>741.84</v>
      </c>
    </row>
    <row r="161">
      <c r="A161" t="n">
        <v>1157</v>
      </c>
      <c r="B161" t="inlineStr">
        <is>
          <t>Feb</t>
        </is>
      </c>
      <c r="C161" t="inlineStr">
        <is>
          <t>North</t>
        </is>
      </c>
      <c r="D161" t="inlineStr">
        <is>
          <t>In-Store</t>
        </is>
      </c>
      <c r="E161" t="inlineStr">
        <is>
          <t>Electronics</t>
        </is>
      </c>
      <c r="F161" t="inlineStr">
        <is>
          <t>Smart Speaker</t>
        </is>
      </c>
      <c r="G161" t="inlineStr">
        <is>
          <t>Flores</t>
        </is>
      </c>
      <c r="H161" t="n">
        <v>8</v>
      </c>
      <c r="I161" t="n">
        <v>55.17</v>
      </c>
      <c r="J161" t="n">
        <v>441.36</v>
      </c>
    </row>
    <row r="162">
      <c r="A162" t="n">
        <v>1158</v>
      </c>
      <c r="B162" t="inlineStr">
        <is>
          <t>May</t>
        </is>
      </c>
      <c r="C162" t="inlineStr">
        <is>
          <t>North</t>
        </is>
      </c>
      <c r="D162" t="inlineStr">
        <is>
          <t>In-Store</t>
        </is>
      </c>
      <c r="E162" t="inlineStr">
        <is>
          <t>Electronics</t>
        </is>
      </c>
      <c r="F162" t="inlineStr">
        <is>
          <t>Tablet</t>
        </is>
      </c>
      <c r="G162" t="inlineStr">
        <is>
          <t>Adams</t>
        </is>
      </c>
      <c r="H162" t="n">
        <v>7</v>
      </c>
      <c r="I162" t="n">
        <v>136.95</v>
      </c>
      <c r="J162" t="n">
        <v>958.65</v>
      </c>
    </row>
    <row r="163">
      <c r="A163" t="n">
        <v>1159</v>
      </c>
      <c r="B163" t="inlineStr">
        <is>
          <t>Mar</t>
        </is>
      </c>
      <c r="C163" t="inlineStr">
        <is>
          <t>East</t>
        </is>
      </c>
      <c r="D163" t="inlineStr">
        <is>
          <t>Online</t>
        </is>
      </c>
      <c r="E163" t="inlineStr">
        <is>
          <t>Clothing</t>
        </is>
      </c>
      <c r="F163" t="inlineStr">
        <is>
          <t>Jeans</t>
        </is>
      </c>
      <c r="G163" t="inlineStr">
        <is>
          <t>Chen</t>
        </is>
      </c>
      <c r="H163" t="n">
        <v>5</v>
      </c>
      <c r="I163" t="n">
        <v>70.31999999999999</v>
      </c>
      <c r="J163" t="n">
        <v>351.6</v>
      </c>
    </row>
    <row r="164">
      <c r="A164" t="n">
        <v>1160</v>
      </c>
      <c r="B164" t="inlineStr">
        <is>
          <t>Jun</t>
        </is>
      </c>
      <c r="C164" t="inlineStr">
        <is>
          <t>North</t>
        </is>
      </c>
      <c r="D164" t="inlineStr">
        <is>
          <t>Online</t>
        </is>
      </c>
      <c r="E164" t="inlineStr">
        <is>
          <t>Clothing</t>
        </is>
      </c>
      <c r="F164" t="inlineStr">
        <is>
          <t>Trainers</t>
        </is>
      </c>
      <c r="G164" t="inlineStr">
        <is>
          <t>Davies</t>
        </is>
      </c>
      <c r="H164" t="n">
        <v>12</v>
      </c>
      <c r="I164" t="n">
        <v>17.78</v>
      </c>
      <c r="J164" t="n">
        <v>213.36</v>
      </c>
    </row>
    <row r="165">
      <c r="A165" t="n">
        <v>1161</v>
      </c>
      <c r="B165" t="inlineStr">
        <is>
          <t>Mar</t>
        </is>
      </c>
      <c r="C165" t="inlineStr">
        <is>
          <t>East</t>
        </is>
      </c>
      <c r="D165" t="inlineStr">
        <is>
          <t>In-Store</t>
        </is>
      </c>
      <c r="E165" t="inlineStr">
        <is>
          <t>Toys</t>
        </is>
      </c>
      <c r="F165" t="inlineStr">
        <is>
          <t>Building Set</t>
        </is>
      </c>
      <c r="G165" t="inlineStr">
        <is>
          <t>Brown</t>
        </is>
      </c>
      <c r="H165" t="n">
        <v>3</v>
      </c>
      <c r="I165" t="n">
        <v>23.69</v>
      </c>
      <c r="J165" t="n">
        <v>71.06999999999999</v>
      </c>
    </row>
    <row r="166">
      <c r="A166" t="n">
        <v>1162</v>
      </c>
      <c r="B166" t="inlineStr">
        <is>
          <t>Jan</t>
        </is>
      </c>
      <c r="C166" t="inlineStr">
        <is>
          <t>North</t>
        </is>
      </c>
      <c r="D166" t="inlineStr">
        <is>
          <t>In-Store</t>
        </is>
      </c>
      <c r="E166" t="inlineStr">
        <is>
          <t>Electronics</t>
        </is>
      </c>
      <c r="F166" t="inlineStr">
        <is>
          <t>Smart Speaker</t>
        </is>
      </c>
      <c r="G166" t="inlineStr">
        <is>
          <t>Hughes</t>
        </is>
      </c>
      <c r="H166" t="n">
        <v>10</v>
      </c>
      <c r="I166" t="n">
        <v>55.69</v>
      </c>
      <c r="J166" t="n">
        <v>556.9</v>
      </c>
    </row>
    <row r="167">
      <c r="A167" t="n">
        <v>1163</v>
      </c>
      <c r="B167" t="inlineStr">
        <is>
          <t>Mar</t>
        </is>
      </c>
      <c r="C167" t="inlineStr">
        <is>
          <t>South</t>
        </is>
      </c>
      <c r="D167" t="inlineStr">
        <is>
          <t>Online</t>
        </is>
      </c>
      <c r="E167" t="inlineStr">
        <is>
          <t>Toys</t>
        </is>
      </c>
      <c r="F167" t="inlineStr">
        <is>
          <t>Building Set</t>
        </is>
      </c>
      <c r="G167" t="inlineStr">
        <is>
          <t>Flores</t>
        </is>
      </c>
      <c r="H167" t="n">
        <v>7</v>
      </c>
      <c r="I167" t="n">
        <v>29.68</v>
      </c>
      <c r="J167" t="n">
        <v>207.76</v>
      </c>
    </row>
    <row r="168">
      <c r="A168" t="n">
        <v>1164</v>
      </c>
      <c r="B168" t="inlineStr">
        <is>
          <t>May</t>
        </is>
      </c>
      <c r="C168" t="inlineStr">
        <is>
          <t>West</t>
        </is>
      </c>
      <c r="D168" t="inlineStr">
        <is>
          <t>In-Store</t>
        </is>
      </c>
      <c r="E168" t="inlineStr">
        <is>
          <t>Toys</t>
        </is>
      </c>
      <c r="F168" t="inlineStr">
        <is>
          <t>Puzzle</t>
        </is>
      </c>
      <c r="G168" t="inlineStr">
        <is>
          <t>Adams</t>
        </is>
      </c>
      <c r="H168" t="n">
        <v>11</v>
      </c>
      <c r="I168" t="n">
        <v>17.05</v>
      </c>
      <c r="J168" t="n">
        <v>187.55</v>
      </c>
    </row>
    <row r="169">
      <c r="A169" t="n">
        <v>1165</v>
      </c>
      <c r="B169" t="inlineStr">
        <is>
          <t>Jan</t>
        </is>
      </c>
      <c r="C169" t="inlineStr">
        <is>
          <t>South</t>
        </is>
      </c>
      <c r="D169" t="inlineStr">
        <is>
          <t>In-Store</t>
        </is>
      </c>
      <c r="E169" t="inlineStr">
        <is>
          <t>Clothing</t>
        </is>
      </c>
      <c r="F169" t="inlineStr">
        <is>
          <t>Trainers</t>
        </is>
      </c>
      <c r="G169" t="inlineStr">
        <is>
          <t>Davies</t>
        </is>
      </c>
      <c r="H169" t="n">
        <v>1</v>
      </c>
      <c r="I169" t="n">
        <v>93.70999999999999</v>
      </c>
      <c r="J169" t="n">
        <v>93.70999999999999</v>
      </c>
    </row>
    <row r="170">
      <c r="A170" t="n">
        <v>1166</v>
      </c>
      <c r="B170" t="inlineStr">
        <is>
          <t>Jan</t>
        </is>
      </c>
      <c r="C170" t="inlineStr">
        <is>
          <t>West</t>
        </is>
      </c>
      <c r="D170" t="inlineStr">
        <is>
          <t>In-Store</t>
        </is>
      </c>
      <c r="E170" t="inlineStr">
        <is>
          <t>Clothing</t>
        </is>
      </c>
      <c r="F170" t="inlineStr">
        <is>
          <t>Jeans</t>
        </is>
      </c>
      <c r="G170" t="inlineStr">
        <is>
          <t>Chen</t>
        </is>
      </c>
      <c r="H170" t="n">
        <v>2</v>
      </c>
      <c r="I170" t="n">
        <v>36.02</v>
      </c>
      <c r="J170" t="n">
        <v>72.04000000000001</v>
      </c>
    </row>
    <row r="171">
      <c r="A171" t="n">
        <v>1167</v>
      </c>
      <c r="B171" t="inlineStr">
        <is>
          <t>May</t>
        </is>
      </c>
      <c r="C171" t="inlineStr">
        <is>
          <t>East</t>
        </is>
      </c>
      <c r="D171" t="inlineStr">
        <is>
          <t>Online</t>
        </is>
      </c>
      <c r="E171" t="inlineStr">
        <is>
          <t>Clothing</t>
        </is>
      </c>
      <c r="F171" t="inlineStr">
        <is>
          <t>Trainers</t>
        </is>
      </c>
      <c r="G171" t="inlineStr">
        <is>
          <t>Gupta</t>
        </is>
      </c>
      <c r="H171" t="n">
        <v>4</v>
      </c>
      <c r="I171" t="n">
        <v>56.2</v>
      </c>
      <c r="J171" t="n">
        <v>224.8</v>
      </c>
    </row>
    <row r="172">
      <c r="A172" t="n">
        <v>1168</v>
      </c>
      <c r="B172" t="inlineStr">
        <is>
          <t>Mar</t>
        </is>
      </c>
      <c r="C172" t="inlineStr">
        <is>
          <t>West</t>
        </is>
      </c>
      <c r="D172" t="inlineStr">
        <is>
          <t>In-Store</t>
        </is>
      </c>
      <c r="E172" t="inlineStr">
        <is>
          <t>Electronics</t>
        </is>
      </c>
      <c r="F172" t="inlineStr">
        <is>
          <t>Charger</t>
        </is>
      </c>
      <c r="G172" t="inlineStr">
        <is>
          <t>Gupta</t>
        </is>
      </c>
      <c r="H172" t="n">
        <v>2</v>
      </c>
      <c r="I172" t="n">
        <v>28.65</v>
      </c>
      <c r="J172" t="n">
        <v>57.3</v>
      </c>
    </row>
    <row r="173">
      <c r="A173" t="n">
        <v>1169</v>
      </c>
      <c r="B173" t="inlineStr">
        <is>
          <t>Feb</t>
        </is>
      </c>
      <c r="C173" t="inlineStr">
        <is>
          <t>West</t>
        </is>
      </c>
      <c r="D173" t="inlineStr">
        <is>
          <t>In-Store</t>
        </is>
      </c>
      <c r="E173" t="inlineStr">
        <is>
          <t>Home</t>
        </is>
      </c>
      <c r="F173" t="inlineStr">
        <is>
          <t>Lamp</t>
        </is>
      </c>
      <c r="G173" t="inlineStr">
        <is>
          <t>Brown</t>
        </is>
      </c>
      <c r="H173" t="n">
        <v>6</v>
      </c>
      <c r="I173" t="n">
        <v>33.11</v>
      </c>
      <c r="J173" t="n">
        <v>198.66</v>
      </c>
    </row>
    <row r="174">
      <c r="A174" t="n">
        <v>1170</v>
      </c>
      <c r="B174" t="inlineStr">
        <is>
          <t>Apr</t>
        </is>
      </c>
      <c r="C174" t="inlineStr">
        <is>
          <t>North</t>
        </is>
      </c>
      <c r="D174" t="inlineStr">
        <is>
          <t>In-Store</t>
        </is>
      </c>
      <c r="E174" t="inlineStr">
        <is>
          <t>Toys</t>
        </is>
      </c>
      <c r="F174" t="inlineStr">
        <is>
          <t>Puzzle</t>
        </is>
      </c>
      <c r="G174" t="inlineStr">
        <is>
          <t>Evans</t>
        </is>
      </c>
      <c r="H174" t="n">
        <v>10</v>
      </c>
      <c r="I174" t="n">
        <v>15.49</v>
      </c>
      <c r="J174" t="n">
        <v>154.9</v>
      </c>
    </row>
    <row r="175">
      <c r="A175" t="n">
        <v>1171</v>
      </c>
      <c r="B175" t="inlineStr">
        <is>
          <t>Jan</t>
        </is>
      </c>
      <c r="C175" t="inlineStr">
        <is>
          <t>North</t>
        </is>
      </c>
      <c r="D175" t="inlineStr">
        <is>
          <t>Online</t>
        </is>
      </c>
      <c r="E175" t="inlineStr">
        <is>
          <t>Home</t>
        </is>
      </c>
      <c r="F175" t="inlineStr">
        <is>
          <t>Cushion</t>
        </is>
      </c>
      <c r="G175" t="inlineStr">
        <is>
          <t>Flores</t>
        </is>
      </c>
      <c r="H175" t="n">
        <v>3</v>
      </c>
      <c r="I175" t="n">
        <v>28.65</v>
      </c>
      <c r="J175" t="n">
        <v>85.95</v>
      </c>
    </row>
    <row r="176">
      <c r="A176" t="n">
        <v>1172</v>
      </c>
      <c r="B176" t="inlineStr">
        <is>
          <t>Mar</t>
        </is>
      </c>
      <c r="C176" t="inlineStr">
        <is>
          <t>South</t>
        </is>
      </c>
      <c r="D176" t="inlineStr">
        <is>
          <t>Online</t>
        </is>
      </c>
      <c r="E176" t="inlineStr">
        <is>
          <t>Home</t>
        </is>
      </c>
      <c r="F176" t="inlineStr">
        <is>
          <t>Cushion</t>
        </is>
      </c>
      <c r="G176" t="inlineStr">
        <is>
          <t>Chen</t>
        </is>
      </c>
      <c r="H176" t="n">
        <v>3</v>
      </c>
      <c r="I176" t="n">
        <v>22.65</v>
      </c>
      <c r="J176" t="n">
        <v>67.95</v>
      </c>
    </row>
    <row r="177">
      <c r="A177" t="n">
        <v>1173</v>
      </c>
      <c r="B177" t="inlineStr">
        <is>
          <t>Apr</t>
        </is>
      </c>
      <c r="C177" t="inlineStr">
        <is>
          <t>West</t>
        </is>
      </c>
      <c r="D177" t="inlineStr">
        <is>
          <t>In-Store</t>
        </is>
      </c>
      <c r="E177" t="inlineStr">
        <is>
          <t>Electronics</t>
        </is>
      </c>
      <c r="F177" t="inlineStr">
        <is>
          <t>Smart Speaker</t>
        </is>
      </c>
      <c r="G177" t="inlineStr">
        <is>
          <t>Flores</t>
        </is>
      </c>
      <c r="H177" t="n">
        <v>11</v>
      </c>
      <c r="I177" t="n">
        <v>210.5</v>
      </c>
      <c r="J177" t="n">
        <v>2315.5</v>
      </c>
    </row>
    <row r="178">
      <c r="A178" t="n">
        <v>1174</v>
      </c>
      <c r="B178" t="inlineStr">
        <is>
          <t>Apr</t>
        </is>
      </c>
      <c r="C178" t="inlineStr">
        <is>
          <t>East</t>
        </is>
      </c>
      <c r="D178" t="inlineStr">
        <is>
          <t>In-Store</t>
        </is>
      </c>
      <c r="E178" t="inlineStr">
        <is>
          <t>Home</t>
        </is>
      </c>
      <c r="F178" t="inlineStr">
        <is>
          <t>Cushion</t>
        </is>
      </c>
      <c r="G178" t="inlineStr">
        <is>
          <t>Adams</t>
        </is>
      </c>
      <c r="H178" t="n">
        <v>8</v>
      </c>
      <c r="I178" t="n">
        <v>35.27</v>
      </c>
      <c r="J178" t="n">
        <v>282.16</v>
      </c>
    </row>
    <row r="179">
      <c r="A179" t="n">
        <v>1175</v>
      </c>
      <c r="B179" t="inlineStr">
        <is>
          <t>Jan</t>
        </is>
      </c>
      <c r="C179" t="inlineStr">
        <is>
          <t>North</t>
        </is>
      </c>
      <c r="D179" t="inlineStr">
        <is>
          <t>In-Store</t>
        </is>
      </c>
      <c r="E179" t="inlineStr">
        <is>
          <t>Home</t>
        </is>
      </c>
      <c r="F179" t="inlineStr">
        <is>
          <t>Lamp</t>
        </is>
      </c>
      <c r="G179" t="inlineStr">
        <is>
          <t>Evans</t>
        </is>
      </c>
      <c r="H179" t="n">
        <v>8</v>
      </c>
      <c r="I179" t="n">
        <v>27.25</v>
      </c>
      <c r="J179" t="n">
        <v>218</v>
      </c>
    </row>
    <row r="180">
      <c r="A180" t="n">
        <v>1176</v>
      </c>
      <c r="B180" t="inlineStr">
        <is>
          <t>Apr</t>
        </is>
      </c>
      <c r="C180" t="inlineStr">
        <is>
          <t>West</t>
        </is>
      </c>
      <c r="D180" t="inlineStr">
        <is>
          <t>Online</t>
        </is>
      </c>
      <c r="E180" t="inlineStr">
        <is>
          <t>Electronics</t>
        </is>
      </c>
      <c r="F180" t="inlineStr">
        <is>
          <t>Headphones</t>
        </is>
      </c>
      <c r="G180" t="inlineStr">
        <is>
          <t>Hughes</t>
        </is>
      </c>
      <c r="H180" t="n">
        <v>9</v>
      </c>
      <c r="I180" t="n">
        <v>144.93</v>
      </c>
      <c r="J180" t="n">
        <v>1304.37</v>
      </c>
    </row>
    <row r="181">
      <c r="A181" t="n">
        <v>1177</v>
      </c>
      <c r="B181" t="inlineStr">
        <is>
          <t>May</t>
        </is>
      </c>
      <c r="C181" t="inlineStr">
        <is>
          <t>South</t>
        </is>
      </c>
      <c r="D181" t="inlineStr">
        <is>
          <t>Online</t>
        </is>
      </c>
      <c r="E181" t="inlineStr">
        <is>
          <t>Sports</t>
        </is>
      </c>
      <c r="F181" t="inlineStr">
        <is>
          <t>Dumbbells</t>
        </is>
      </c>
      <c r="G181" t="inlineStr">
        <is>
          <t>Hughes</t>
        </is>
      </c>
      <c r="H181" t="n">
        <v>8</v>
      </c>
      <c r="I181" t="n">
        <v>48.58</v>
      </c>
      <c r="J181" t="n">
        <v>388.64</v>
      </c>
    </row>
    <row r="182">
      <c r="A182" t="n">
        <v>1178</v>
      </c>
      <c r="B182" t="inlineStr">
        <is>
          <t>May</t>
        </is>
      </c>
      <c r="C182" t="inlineStr">
        <is>
          <t>South</t>
        </is>
      </c>
      <c r="D182" t="inlineStr">
        <is>
          <t>Online</t>
        </is>
      </c>
      <c r="E182" t="inlineStr">
        <is>
          <t>Electronics</t>
        </is>
      </c>
      <c r="F182" t="inlineStr">
        <is>
          <t>Tablet</t>
        </is>
      </c>
      <c r="G182" t="inlineStr">
        <is>
          <t>Davies</t>
        </is>
      </c>
      <c r="H182" t="n">
        <v>2</v>
      </c>
      <c r="I182" t="n">
        <v>216.57</v>
      </c>
      <c r="J182" t="n">
        <v>433.14</v>
      </c>
    </row>
    <row r="183">
      <c r="A183" t="n">
        <v>1179</v>
      </c>
      <c r="B183" t="inlineStr">
        <is>
          <t>Feb</t>
        </is>
      </c>
      <c r="C183" t="inlineStr">
        <is>
          <t>East</t>
        </is>
      </c>
      <c r="D183" t="inlineStr">
        <is>
          <t>In-Store</t>
        </is>
      </c>
      <c r="E183" t="inlineStr">
        <is>
          <t>Toys</t>
        </is>
      </c>
      <c r="F183" t="inlineStr">
        <is>
          <t>Building Set</t>
        </is>
      </c>
      <c r="G183" t="inlineStr">
        <is>
          <t>Evans</t>
        </is>
      </c>
      <c r="H183" t="n">
        <v>10</v>
      </c>
      <c r="I183" t="n">
        <v>26.44</v>
      </c>
      <c r="J183" t="n">
        <v>264.4</v>
      </c>
    </row>
    <row r="184">
      <c r="A184" t="n">
        <v>1180</v>
      </c>
      <c r="B184" t="inlineStr">
        <is>
          <t>May</t>
        </is>
      </c>
      <c r="C184" t="inlineStr">
        <is>
          <t>North</t>
        </is>
      </c>
      <c r="D184" t="inlineStr">
        <is>
          <t>In-Store</t>
        </is>
      </c>
      <c r="E184" t="inlineStr">
        <is>
          <t>Toys</t>
        </is>
      </c>
      <c r="F184" t="inlineStr">
        <is>
          <t>Building Set</t>
        </is>
      </c>
      <c r="G184" t="inlineStr">
        <is>
          <t>Brown</t>
        </is>
      </c>
      <c r="H184" t="n">
        <v>11</v>
      </c>
      <c r="I184" t="n">
        <v>36.2</v>
      </c>
      <c r="J184" t="n">
        <v>398.2</v>
      </c>
    </row>
  </sheetData>
  <pageMargins left="0.75" right="0.75" top="1" bottom="1" header="0.5" footer="0.5"/>
  <pageSetup fitToHeight="0" fitToWidth="1"/>
</worksheet>
</file>

<file path=xl/worksheets/sheet4.xml><?xml version="1.0" encoding="utf-8"?>
<worksheet xmlns="http://schemas.openxmlformats.org/spreadsheetml/2006/main">
  <sheetPr>
    <tabColor rgb="FF7B4BA8"/>
    <outlinePr summaryBelow="1" summaryRight="1"/>
    <pageSetUpPr fitToPage="1"/>
  </sheetPr>
  <dimension ref="A1:H15"/>
  <sheetViews>
    <sheetView workbookViewId="0">
      <selection activeCell="A1" sqref="A1"/>
    </sheetView>
  </sheetViews>
  <sheetFormatPr baseColWidth="8" defaultRowHeight="15"/>
  <cols>
    <col width="2" customWidth="1" min="1" max="1"/>
    <col width="30" customWidth="1" min="2" max="2"/>
    <col width="2" customWidth="1" min="3" max="3"/>
    <col width="24" customWidth="1" min="4" max="4"/>
    <col width="2" customWidth="1" min="5" max="5"/>
    <col width="15" customWidth="1" min="6" max="6"/>
    <col width="13" customWidth="1" min="7" max="7"/>
    <col width="4" customWidth="1" min="8" max="8"/>
  </cols>
  <sheetData>
    <row r="1" ht="26" customHeight="1">
      <c r="A1" s="1" t="inlineStr">
        <is>
          <t>Task 1 — COUNT</t>
        </is>
      </c>
      <c r="B1" s="2" t="n"/>
      <c r="C1" s="2" t="n"/>
      <c r="D1" s="2" t="n"/>
      <c r="E1" s="2" t="n"/>
      <c r="F1" s="2" t="n"/>
      <c r="G1" s="2" t="n"/>
      <c r="H1" s="2" t="n"/>
    </row>
    <row r="2">
      <c r="A2" s="3" t="inlineStr">
        <is>
          <t>Counting rows and values</t>
        </is>
      </c>
      <c r="B2" s="4" t="n"/>
      <c r="C2" s="4" t="n"/>
      <c r="D2" s="4" t="n"/>
      <c r="E2" s="4" t="n"/>
      <c r="F2" s="4" t="n"/>
      <c r="G2" s="4" t="n"/>
      <c r="H2" s="4" t="n"/>
    </row>
    <row r="4" ht="19.5" customHeight="1">
      <c r="A4" s="24" t="inlineStr">
        <is>
          <t>WHAT IT DOES</t>
        </is>
      </c>
    </row>
    <row r="5" ht="51" customHeight="1">
      <c r="A5" s="26" t="inlineStr">
        <is>
          <t>COUNT tells you how many NUMERIC values are in a range. It's the quickest way to find out how many records you have. It only counts numbers — it skips any text or blank cells, which is actually useful for spotting gaps.</t>
        </is>
      </c>
    </row>
    <row r="6" ht="19.5" customHeight="1">
      <c r="A6" s="24" t="inlineStr">
        <is>
          <t>WORKED EXAMPLE</t>
        </is>
      </c>
    </row>
    <row r="7" ht="20" customHeight="1">
      <c r="A7" s="34" t="inlineStr">
        <is>
          <t>=COUNT('Data'!A5:A184)   →   180</t>
        </is>
      </c>
    </row>
    <row r="8" ht="30" customHeight="1">
      <c r="A8" s="29" t="inlineStr">
        <is>
          <t>Pointed at the Order ID column (all numbers), COUNT returns 180 — so there are 180 orders.</t>
        </is>
      </c>
    </row>
    <row r="9" ht="19.5" customHeight="1">
      <c r="A9" s="30" t="inlineStr">
        <is>
          <t>⚠  COMMON MISTAKE</t>
        </is>
      </c>
    </row>
    <row r="10" ht="34" customHeight="1">
      <c r="A10" s="32" t="inlineStr">
        <is>
          <t>Pointing COUNT at a text column (like Region) returns 0, because there are no numbers to count. Use COUNTA for text.</t>
        </is>
      </c>
    </row>
    <row r="12" ht="21" customHeight="1">
      <c r="A12" s="33" t="inlineStr">
        <is>
          <t>Now you try — type your formula in the amber cell:</t>
        </is>
      </c>
    </row>
    <row r="13" ht="21" customHeight="1">
      <c r="B13" s="18" t="inlineStr">
        <is>
          <t>What to calculate</t>
        </is>
      </c>
      <c r="D13" s="18" t="inlineStr">
        <is>
          <t>Type this kind of formula</t>
        </is>
      </c>
      <c r="F13" s="18" t="inlineStr">
        <is>
          <t>Your result</t>
        </is>
      </c>
      <c r="G13" s="18" t="inlineStr">
        <is>
          <t>Check</t>
        </is>
      </c>
    </row>
    <row r="14" ht="36" customHeight="1">
      <c r="B14" s="19" t="inlineStr">
        <is>
          <t>How many orders are in the dataset?</t>
        </is>
      </c>
      <c r="D14" s="20" t="inlineStr">
        <is>
          <t>e.g.  =COUNT('Data'!$A$5:$A$184)</t>
        </is>
      </c>
      <c r="F14" s="16" t="n"/>
      <c r="G14" s="17">
        <f>IF(F14="","",IFERROR(IF(ABS(F14-180)&lt;0.01,"✓  Correct","✗  Try again"),"✗  Try again"))</f>
        <v/>
      </c>
    </row>
    <row r="15" ht="36" customHeight="1">
      <c r="B15" s="19" t="inlineStr">
        <is>
          <t>How many orders have a Unit Price?</t>
        </is>
      </c>
      <c r="D15" s="20" t="inlineStr">
        <is>
          <t>e.g.  =COUNT('Data'!$I$5:$I$184)</t>
        </is>
      </c>
      <c r="F15" s="16" t="n"/>
      <c r="G15" s="17">
        <f>IF(F15="","",IFERROR(IF(ABS(F15-180)&lt;0.01,"✓  Correct","✗  Try again"),"✗  Try again"))</f>
        <v/>
      </c>
    </row>
  </sheetData>
  <mergeCells count="8">
    <mergeCell ref="A9:H9"/>
    <mergeCell ref="A4:H4"/>
    <mergeCell ref="A12:H12"/>
    <mergeCell ref="A7:H7"/>
    <mergeCell ref="A10:H10"/>
    <mergeCell ref="A5:H5"/>
    <mergeCell ref="A8:H8"/>
    <mergeCell ref="A6:H6"/>
  </mergeCells>
  <pageMargins left="0.75" right="0.75" top="1" bottom="1" header="0.5" footer="0.5"/>
  <pageSetup fitToHeight="0" fitToWidth="1"/>
</worksheet>
</file>

<file path=xl/worksheets/sheet5.xml><?xml version="1.0" encoding="utf-8"?>
<worksheet xmlns="http://schemas.openxmlformats.org/spreadsheetml/2006/main">
  <sheetPr>
    <tabColor rgb="FF7B4BA8"/>
    <outlinePr summaryBelow="1" summaryRight="1"/>
    <pageSetUpPr fitToPage="1"/>
  </sheetPr>
  <dimension ref="A1:H19"/>
  <sheetViews>
    <sheetView workbookViewId="0">
      <selection activeCell="A1" sqref="A1"/>
    </sheetView>
  </sheetViews>
  <sheetFormatPr baseColWidth="8" defaultRowHeight="15"/>
  <cols>
    <col width="2" customWidth="1" min="1" max="1"/>
    <col width="30" customWidth="1" min="2" max="2"/>
    <col width="2" customWidth="1" min="3" max="3"/>
    <col width="24" customWidth="1" min="4" max="4"/>
    <col width="2" customWidth="1" min="5" max="5"/>
    <col width="15" customWidth="1" min="6" max="6"/>
    <col width="13" customWidth="1" min="7" max="7"/>
    <col width="4" customWidth="1" min="8" max="8"/>
  </cols>
  <sheetData>
    <row r="1" ht="26" customHeight="1">
      <c r="A1" s="1" t="inlineStr">
        <is>
          <t>Task 2 — COUNTIF &amp; COUNTIFS</t>
        </is>
      </c>
      <c r="B1" s="2" t="n"/>
      <c r="C1" s="2" t="n"/>
      <c r="D1" s="2" t="n"/>
      <c r="E1" s="2" t="n"/>
      <c r="F1" s="2" t="n"/>
      <c r="G1" s="2" t="n"/>
      <c r="H1" s="2" t="n"/>
    </row>
    <row r="2">
      <c r="A2" s="3" t="inlineStr">
        <is>
          <t>Counting with conditions</t>
        </is>
      </c>
      <c r="B2" s="4" t="n"/>
      <c r="C2" s="4" t="n"/>
      <c r="D2" s="4" t="n"/>
      <c r="E2" s="4" t="n"/>
      <c r="F2" s="4" t="n"/>
      <c r="G2" s="4" t="n"/>
      <c r="H2" s="4" t="n"/>
    </row>
    <row r="4" ht="19.5" customHeight="1">
      <c r="A4" s="24" t="inlineStr">
        <is>
          <t>WHAT IT DOES</t>
        </is>
      </c>
    </row>
    <row r="5" ht="46" customHeight="1">
      <c r="A5" s="26" t="inlineStr">
        <is>
          <t>Add 'IF' and COUNT only counts the rows that pass a test. COUNTIF takes one condition; COUNTIFS takes two or more, and a row is only counted when EVERY condition is true.</t>
        </is>
      </c>
    </row>
    <row r="6" ht="19.5" customHeight="1">
      <c r="A6" s="24" t="inlineStr">
        <is>
          <t>WORKED EXAMPLE</t>
        </is>
      </c>
    </row>
    <row r="7" ht="20" customHeight="1">
      <c r="A7" s="34" t="inlineStr">
        <is>
          <t>=COUNTIF('Data'!C5:C184,"North")   →   47</t>
        </is>
      </c>
    </row>
    <row r="8" ht="34" customHeight="1">
      <c r="A8" s="29" t="inlineStr">
        <is>
          <t>Counts only rows where Region is North. Add a second pair for COUNTIFS, e.g. Channel = Online too.</t>
        </is>
      </c>
    </row>
    <row r="9" ht="19.5" customHeight="1">
      <c r="A9" s="30" t="inlineStr">
        <is>
          <t>⚠  COMMON MISTAKE</t>
        </is>
      </c>
    </row>
    <row r="10" ht="34" customHeight="1">
      <c r="A10" s="32" t="inlineStr">
        <is>
          <t>Conditions need quotes, and number comparisons go inside the quotes: "&gt;=10", not &gt;=10. And COUNTIFS is AND, not OR — every test must match.</t>
        </is>
      </c>
    </row>
    <row r="12" ht="21" customHeight="1">
      <c r="A12" s="33" t="inlineStr">
        <is>
          <t>Now you try — type your formula in the amber cell:</t>
        </is>
      </c>
    </row>
    <row r="13" ht="21" customHeight="1">
      <c r="B13" s="18" t="inlineStr">
        <is>
          <t>What to calculate</t>
        </is>
      </c>
      <c r="D13" s="18" t="inlineStr">
        <is>
          <t>Type this kind of formula</t>
        </is>
      </c>
      <c r="F13" s="18" t="inlineStr">
        <is>
          <t>Your result</t>
        </is>
      </c>
      <c r="G13" s="18" t="inlineStr">
        <is>
          <t>Check</t>
        </is>
      </c>
    </row>
    <row r="14" ht="36" customHeight="1">
      <c r="B14" s="19" t="inlineStr">
        <is>
          <t>How many orders in the North region?</t>
        </is>
      </c>
      <c r="D14" s="20" t="inlineStr">
        <is>
          <t>e.g.  =COUNTIF('Data'!$C$5:$C$184,"North")</t>
        </is>
      </c>
      <c r="F14" s="16" t="n"/>
      <c r="G14" s="17">
        <f>IF(F14="","",IFERROR(IF(ABS(F14-47)&lt;0.01,"✓  Correct","✗  Try again"),"✗  Try again"))</f>
        <v/>
      </c>
    </row>
    <row r="15" ht="32" customHeight="1">
      <c r="B15" s="19" t="inlineStr">
        <is>
          <t>How many Electronics orders?</t>
        </is>
      </c>
      <c r="D15" s="20" t="inlineStr">
        <is>
          <t>e.g.  =COUNTIF('Data'!$E$5:$E$184,"Electronics")</t>
        </is>
      </c>
      <c r="F15" s="16" t="n"/>
      <c r="G15" s="17">
        <f>IF(F15="","",IFERROR(IF(ABS(F15-37)&lt;0.01,"✓  Correct","✗  Try again"),"✗  Try again"))</f>
        <v/>
      </c>
    </row>
    <row r="16" ht="36" customHeight="1">
      <c r="B16" s="19" t="inlineStr">
        <is>
          <t>How many orders with Quantity 10 or more?</t>
        </is>
      </c>
      <c r="D16" s="20" t="inlineStr">
        <is>
          <t>e.g.  =COUNTIF('Data'!$H$5:$H$184,"&gt;=10")</t>
        </is>
      </c>
      <c r="F16" s="16" t="n"/>
      <c r="G16" s="17">
        <f>IF(F16="","",IFERROR(IF(ABS(F16-47)&lt;0.01,"✓  Correct","✗  Try again"),"✗  Try again"))</f>
        <v/>
      </c>
    </row>
    <row r="17" ht="45" customHeight="1">
      <c r="B17" s="19" t="inlineStr">
        <is>
          <t>How many Online orders in the South region?</t>
        </is>
      </c>
      <c r="D17" s="20" t="inlineStr">
        <is>
          <t>e.g.  =COUNTIFS('Data'!$D$5:$D$184,"Online",'Data'!$C$5:$C$184,"South")</t>
        </is>
      </c>
      <c r="F17" s="16" t="n"/>
      <c r="G17" s="17">
        <f>IF(F17="","",IFERROR(IF(ABS(F17-27)&lt;0.01,"✓  Correct","✗  Try again"),"✗  Try again"))</f>
        <v/>
      </c>
    </row>
    <row r="18" ht="58" customHeight="1">
      <c r="B18" s="19" t="inlineStr">
        <is>
          <t>How many Clothing orders sold In-Store?</t>
        </is>
      </c>
      <c r="D18" s="20" t="inlineStr">
        <is>
          <t>e.g.  =COUNTIFS('Data'!$E$5:$E$184,"Clothing",'Data'!$D$5:$D$184,"In-Store")</t>
        </is>
      </c>
      <c r="F18" s="16" t="n"/>
      <c r="G18" s="17">
        <f>IF(F18="","",IFERROR(IF(ABS(F18-10)&lt;0.01,"✓  Correct","✗  Try again"),"✗  Try again"))</f>
        <v/>
      </c>
    </row>
    <row r="19" ht="58" customHeight="1">
      <c r="B19" s="19" t="inlineStr">
        <is>
          <t>How many Sports orders in the West with Quantity over 5?</t>
        </is>
      </c>
      <c r="D19" s="20" t="inlineStr">
        <is>
          <t>e.g.  =COUNTIFS('Data'!$E$5:$E$184,"Sports",'Data'!$C$5:$C$184,"West",'Data'!$H$5:$H$184,"&gt;5")</t>
        </is>
      </c>
      <c r="F19" s="16" t="n"/>
      <c r="G19" s="17">
        <f>IF(F19="","",IFERROR(IF(ABS(F19-3)&lt;0.01,"✓  Correct","✗  Try again"),"✗  Try again"))</f>
        <v/>
      </c>
    </row>
  </sheetData>
  <mergeCells count="8">
    <mergeCell ref="A9:H9"/>
    <mergeCell ref="A4:H4"/>
    <mergeCell ref="A12:H12"/>
    <mergeCell ref="A7:H7"/>
    <mergeCell ref="A10:H10"/>
    <mergeCell ref="A5:H5"/>
    <mergeCell ref="A8:H8"/>
    <mergeCell ref="A6:H6"/>
  </mergeCells>
  <pageMargins left="0.75" right="0.75" top="1" bottom="1" header="0.5" footer="0.5"/>
  <pageSetup fitToHeight="0" fitToWidth="1"/>
</worksheet>
</file>

<file path=xl/worksheets/sheet6.xml><?xml version="1.0" encoding="utf-8"?>
<worksheet xmlns="http://schemas.openxmlformats.org/spreadsheetml/2006/main">
  <sheetPr>
    <tabColor rgb="FF7B4BA8"/>
    <outlinePr summaryBelow="1" summaryRight="1"/>
    <pageSetUpPr fitToPage="1"/>
  </sheetPr>
  <dimension ref="A1:H20"/>
  <sheetViews>
    <sheetView workbookViewId="0">
      <selection activeCell="A1" sqref="A1"/>
    </sheetView>
  </sheetViews>
  <sheetFormatPr baseColWidth="8" defaultRowHeight="15"/>
  <cols>
    <col width="2" customWidth="1" min="1" max="1"/>
    <col width="30" customWidth="1" min="2" max="2"/>
    <col width="2" customWidth="1" min="3" max="3"/>
    <col width="24" customWidth="1" min="4" max="4"/>
    <col width="2" customWidth="1" min="5" max="5"/>
    <col width="15" customWidth="1" min="6" max="6"/>
    <col width="13" customWidth="1" min="7" max="7"/>
    <col width="4" customWidth="1" min="8" max="8"/>
  </cols>
  <sheetData>
    <row r="1" ht="26" customHeight="1">
      <c r="A1" s="1" t="inlineStr">
        <is>
          <t>Task 3 — SUM, SUMIF &amp; SUMIFS</t>
        </is>
      </c>
      <c r="B1" s="2" t="n"/>
      <c r="C1" s="2" t="n"/>
      <c r="D1" s="2" t="n"/>
      <c r="E1" s="2" t="n"/>
      <c r="F1" s="2" t="n"/>
      <c r="G1" s="2" t="n"/>
      <c r="H1" s="2" t="n"/>
    </row>
    <row r="2">
      <c r="A2" s="3" t="inlineStr">
        <is>
          <t>Totalling a column, conditionally</t>
        </is>
      </c>
      <c r="B2" s="4" t="n"/>
      <c r="C2" s="4" t="n"/>
      <c r="D2" s="4" t="n"/>
      <c r="E2" s="4" t="n"/>
      <c r="F2" s="4" t="n"/>
      <c r="G2" s="4" t="n"/>
      <c r="H2" s="4" t="n"/>
    </row>
    <row r="4" ht="19.5" customHeight="1">
      <c r="A4" s="24" t="inlineStr">
        <is>
          <t>WHAT IT DOES</t>
        </is>
      </c>
    </row>
    <row r="5" ht="46" customHeight="1">
      <c r="A5" s="26" t="inlineStr">
        <is>
          <t>SUM adds up a column of numbers. SUMIF adds only the rows that pass one test; SUMIFS adds rows that pass several. This is how you total revenue for just one channel, region or product.</t>
        </is>
      </c>
    </row>
    <row r="6" ht="19.5" customHeight="1">
      <c r="A6" s="24" t="inlineStr">
        <is>
          <t>WORKED EXAMPLE</t>
        </is>
      </c>
    </row>
    <row r="7" ht="20" customHeight="1">
      <c r="A7" s="34" t="inlineStr">
        <is>
          <t>=SUMIF('Data'!D5:D184,"Online",'Data'!J5:J184)   →   £38,903.92</t>
        </is>
      </c>
    </row>
    <row r="8" ht="34" customHeight="1">
      <c r="A8" s="29" t="inlineStr">
        <is>
          <t>Tests the Channel column for 'Online', then totals the matching Revenue values. The range to ADD comes last in SUMIF.</t>
        </is>
      </c>
    </row>
    <row r="9" ht="19.5" customHeight="1">
      <c r="A9" s="30" t="inlineStr">
        <is>
          <t>⚠  COMMON MISTAKE</t>
        </is>
      </c>
    </row>
    <row r="10" ht="34" customHeight="1">
      <c r="A10" s="32" t="inlineStr">
        <is>
          <t>SUMIF puts the sum range LAST: (test range, condition, sum range). But SUMIFS puts it FIRST: (sum range, test1, cond1…). Swapping these is the single most common spreadsheet error.</t>
        </is>
      </c>
    </row>
    <row r="12" ht="21" customHeight="1">
      <c r="A12" s="33" t="inlineStr">
        <is>
          <t>Now you try — type your formula in the amber cell:</t>
        </is>
      </c>
    </row>
    <row r="13" ht="21" customHeight="1">
      <c r="B13" s="18" t="inlineStr">
        <is>
          <t>What to calculate</t>
        </is>
      </c>
      <c r="D13" s="18" t="inlineStr">
        <is>
          <t>Type this kind of formula</t>
        </is>
      </c>
      <c r="F13" s="18" t="inlineStr">
        <is>
          <t>Your result</t>
        </is>
      </c>
      <c r="G13" s="18" t="inlineStr">
        <is>
          <t>Check</t>
        </is>
      </c>
    </row>
    <row r="14" ht="36" customHeight="1">
      <c r="B14" s="19" t="inlineStr">
        <is>
          <t>Total Quantity sold across all orders</t>
        </is>
      </c>
      <c r="D14" s="20" t="inlineStr">
        <is>
          <t>e.g.  =SUM('Data'!$H$5:$H$184)</t>
        </is>
      </c>
      <c r="F14" s="16" t="n"/>
      <c r="G14" s="17">
        <f>IF(F14="","",IFERROR(IF(ABS(F14-1202)&lt;0.01,"✓  Correct","✗  Try again"),"✗  Try again"))</f>
        <v/>
      </c>
    </row>
    <row r="15" ht="32" customHeight="1">
      <c r="B15" s="19" t="inlineStr">
        <is>
          <t>Total Revenue across all orders</t>
        </is>
      </c>
      <c r="D15" s="20" t="inlineStr">
        <is>
          <t>e.g.  =SUM('Data'!$J$5:$J$184)</t>
        </is>
      </c>
      <c r="F15" s="16" t="n"/>
      <c r="G15" s="17">
        <f>IF(F15="","",IFERROR(IF(ABS(F15-77262.17)&lt;0.01,"✓  Correct","✗  Try again"),"✗  Try again"))</f>
        <v/>
      </c>
    </row>
    <row r="16" ht="45" customHeight="1">
      <c r="B16" s="19" t="inlineStr">
        <is>
          <t>Total Revenue from the Online channel</t>
        </is>
      </c>
      <c r="D16" s="20" t="inlineStr">
        <is>
          <t>e.g.  =SUMIF('Data'!$D$5:$D$184,"Online",'Data'!$J$5:$J$184)</t>
        </is>
      </c>
      <c r="F16" s="16" t="n"/>
      <c r="G16" s="17">
        <f>IF(F16="","",IFERROR(IF(ABS(F16-38903.92)&lt;0.01,"✓  Correct","✗  Try again"),"✗  Try again"))</f>
        <v/>
      </c>
    </row>
    <row r="17" ht="45" customHeight="1">
      <c r="B17" s="19" t="inlineStr">
        <is>
          <t>Total Revenue from the Home category</t>
        </is>
      </c>
      <c r="D17" s="20" t="inlineStr">
        <is>
          <t>e.g.  =SUMIF('Data'!$E$5:$E$184,"Home",'Data'!$J$5:$J$184)</t>
        </is>
      </c>
      <c r="F17" s="16" t="n"/>
      <c r="G17" s="17">
        <f>IF(F17="","",IFERROR(IF(ABS(F17-10758.84)&lt;0.01,"✓  Correct","✗  Try again"),"✗  Try again"))</f>
        <v/>
      </c>
    </row>
    <row r="18" ht="58" customHeight="1">
      <c r="B18" s="19" t="inlineStr">
        <is>
          <t>Total Revenue: Electronics sold Online</t>
        </is>
      </c>
      <c r="D18" s="20" t="inlineStr">
        <is>
          <t>e.g.  =SUMIFS('Data'!$J$5:$J$184,'Data'!$E$5:$E$184,"Electronics",'Data'!$D$5:$D$184,"Online")</t>
        </is>
      </c>
      <c r="F18" s="16" t="n"/>
      <c r="G18" s="17">
        <f>IF(F18="","",IFERROR(IF(ABS(F18-14975)&lt;0.01,"✓  Correct","✗  Try again"),"✗  Try again"))</f>
        <v/>
      </c>
    </row>
    <row r="19" ht="58" customHeight="1">
      <c r="B19" s="19" t="inlineStr">
        <is>
          <t>Total Revenue: East region, In-Store</t>
        </is>
      </c>
      <c r="D19" s="20" t="inlineStr">
        <is>
          <t>e.g.  =SUMIFS('Data'!$J$5:$J$184,'Data'!$C$5:$C$184,"East",'Data'!$D$5:$D$184,"In-Store")</t>
        </is>
      </c>
      <c r="F19" s="16" t="n"/>
      <c r="G19" s="17">
        <f>IF(F19="","",IFERROR(IF(ABS(F19-7159.25)&lt;0.01,"✓  Correct","✗  Try again"),"✗  Try again"))</f>
        <v/>
      </c>
    </row>
    <row r="20" ht="58" customHeight="1">
      <c r="B20" s="19" t="inlineStr">
        <is>
          <t>Total Quantity of Toys sold by Chen</t>
        </is>
      </c>
      <c r="D20" s="20" t="inlineStr">
        <is>
          <t>e.g.  =SUMIFS('Data'!$H$5:$H$184,'Data'!$E$5:$E$184,"Toys",'Data'!$G$5:$G$184,"Chen")</t>
        </is>
      </c>
      <c r="F20" s="16" t="n"/>
      <c r="G20" s="17">
        <f>IF(F20="","",IFERROR(IF(ABS(F20-25)&lt;0.01,"✓  Correct","✗  Try again"),"✗  Try again"))</f>
        <v/>
      </c>
    </row>
  </sheetData>
  <mergeCells count="8">
    <mergeCell ref="A9:H9"/>
    <mergeCell ref="A4:H4"/>
    <mergeCell ref="A12:H12"/>
    <mergeCell ref="A7:H7"/>
    <mergeCell ref="A10:H10"/>
    <mergeCell ref="A5:H5"/>
    <mergeCell ref="A8:H8"/>
    <mergeCell ref="A6:H6"/>
  </mergeCells>
  <pageMargins left="0.75" right="0.75" top="1" bottom="1" header="0.5" footer="0.5"/>
  <pageSetup fitToHeight="0" fitToWidth="1"/>
</worksheet>
</file>

<file path=xl/worksheets/sheet7.xml><?xml version="1.0" encoding="utf-8"?>
<worksheet xmlns="http://schemas.openxmlformats.org/spreadsheetml/2006/main">
  <sheetPr>
    <tabColor rgb="FF7B4BA8"/>
    <outlinePr summaryBelow="1" summaryRight="1"/>
    <pageSetUpPr fitToPage="1"/>
  </sheetPr>
  <dimension ref="A1:H19"/>
  <sheetViews>
    <sheetView workbookViewId="0">
      <selection activeCell="A1" sqref="A1"/>
    </sheetView>
  </sheetViews>
  <sheetFormatPr baseColWidth="8" defaultRowHeight="15"/>
  <cols>
    <col width="2" customWidth="1" min="1" max="1"/>
    <col width="30" customWidth="1" min="2" max="2"/>
    <col width="2" customWidth="1" min="3" max="3"/>
    <col width="24" customWidth="1" min="4" max="4"/>
    <col width="2" customWidth="1" min="5" max="5"/>
    <col width="15" customWidth="1" min="6" max="6"/>
    <col width="13" customWidth="1" min="7" max="7"/>
    <col width="4" customWidth="1" min="8" max="8"/>
  </cols>
  <sheetData>
    <row r="1" ht="26" customHeight="1">
      <c r="A1" s="1" t="inlineStr">
        <is>
          <t>Task 4 — AVERAGE, AVERAGEIF &amp; AVERAGEIFS</t>
        </is>
      </c>
      <c r="B1" s="2" t="n"/>
      <c r="C1" s="2" t="n"/>
      <c r="D1" s="2" t="n"/>
      <c r="E1" s="2" t="n"/>
      <c r="F1" s="2" t="n"/>
      <c r="G1" s="2" t="n"/>
      <c r="H1" s="2" t="n"/>
    </row>
    <row r="2">
      <c r="A2" s="3" t="inlineStr">
        <is>
          <t>The mean, conditionally</t>
        </is>
      </c>
      <c r="B2" s="4" t="n"/>
      <c r="C2" s="4" t="n"/>
      <c r="D2" s="4" t="n"/>
      <c r="E2" s="4" t="n"/>
      <c r="F2" s="4" t="n"/>
      <c r="G2" s="4" t="n"/>
      <c r="H2" s="4" t="n"/>
    </row>
    <row r="4" ht="19.5" customHeight="1">
      <c r="A4" s="24" t="inlineStr">
        <is>
          <t>WHAT IT DOES</t>
        </is>
      </c>
    </row>
    <row r="5" ht="46" customHeight="1">
      <c r="A5" s="26" t="inlineStr">
        <is>
          <t>AVERAGE gives the mean of a column. AVERAGEIF averages only the rows passing one test; AVERAGEIFS, several. Useful for 'average order value for Online' or 'average price in Electronics'.</t>
        </is>
      </c>
    </row>
    <row r="6" ht="19.5" customHeight="1">
      <c r="A6" s="24" t="inlineStr">
        <is>
          <t>WORKED EXAMPLE</t>
        </is>
      </c>
    </row>
    <row r="7" ht="20" customHeight="1">
      <c r="A7" s="34" t="inlineStr">
        <is>
          <t>=AVERAGEIF('Data'!E5:E184,"Electronics",'Data'!I5:I184)   →   £121.77</t>
        </is>
      </c>
    </row>
    <row r="8" ht="34" customHeight="1">
      <c r="A8" s="29" t="inlineStr">
        <is>
          <t>Averages the Unit Price of just the Electronics rows. AVERAGE quietly ignores blank and text cells, so it won't divide by them.</t>
        </is>
      </c>
    </row>
    <row r="9" ht="19.5" customHeight="1">
      <c r="A9" s="30" t="inlineStr">
        <is>
          <t>⚠  COMMON MISTAKE</t>
        </is>
      </c>
    </row>
    <row r="10" ht="34" customHeight="1">
      <c r="A10" s="32" t="inlineStr">
        <is>
          <t>Same trap as SUM: AVERAGEIF puts the average range LAST, AVERAGEIFS puts it FIRST. Get the order right or you'll average the wrong column.</t>
        </is>
      </c>
    </row>
    <row r="12" ht="21" customHeight="1">
      <c r="A12" s="33" t="inlineStr">
        <is>
          <t>Now you try — type your formula in the amber cell:</t>
        </is>
      </c>
    </row>
    <row r="13" ht="21" customHeight="1">
      <c r="B13" s="18" t="inlineStr">
        <is>
          <t>What to calculate</t>
        </is>
      </c>
      <c r="D13" s="18" t="inlineStr">
        <is>
          <t>Type this kind of formula</t>
        </is>
      </c>
      <c r="F13" s="18" t="inlineStr">
        <is>
          <t>Your result</t>
        </is>
      </c>
      <c r="G13" s="18" t="inlineStr">
        <is>
          <t>Check</t>
        </is>
      </c>
    </row>
    <row r="14" ht="36" customHeight="1">
      <c r="B14" s="19" t="inlineStr">
        <is>
          <t>Average Unit Price across all orders</t>
        </is>
      </c>
      <c r="D14" s="20" t="inlineStr">
        <is>
          <t>e.g.  =AVERAGE('Data'!$I$5:$I$184)</t>
        </is>
      </c>
      <c r="F14" s="16" t="n"/>
      <c r="G14" s="17">
        <f>IF(F14="","",IFERROR(IF(ABS(F14-62.38)&lt;0.01,"✓  Correct","✗  Try again"),"✗  Try again"))</f>
        <v/>
      </c>
    </row>
    <row r="15" ht="32" customHeight="1">
      <c r="B15" s="19" t="inlineStr">
        <is>
          <t>Average Revenue per order</t>
        </is>
      </c>
      <c r="D15" s="20" t="inlineStr">
        <is>
          <t>e.g.  =AVERAGE('Data'!$J$5:$J$184)</t>
        </is>
      </c>
      <c r="F15" s="16" t="n"/>
      <c r="G15" s="17">
        <f>IF(F15="","",IFERROR(IF(ABS(F15-429.23)&lt;0.01,"✓  Correct","✗  Try again"),"✗  Try again"))</f>
        <v/>
      </c>
    </row>
    <row r="16" ht="45" customHeight="1">
      <c r="B16" s="19" t="inlineStr">
        <is>
          <t>Average Revenue of Online orders</t>
        </is>
      </c>
      <c r="D16" s="20" t="inlineStr">
        <is>
          <t>e.g.  =AVERAGEIF('Data'!$D$5:$D$184,"Online",'Data'!$J$5:$J$184)</t>
        </is>
      </c>
      <c r="F16" s="16" t="n"/>
      <c r="G16" s="17">
        <f>IF(F16="","",IFERROR(IF(ABS(F16-452.37)&lt;0.01,"✓  Correct","✗  Try again"),"✗  Try again"))</f>
        <v/>
      </c>
    </row>
    <row r="17" ht="45" customHeight="1">
      <c r="B17" s="19" t="inlineStr">
        <is>
          <t>Average Unit Price in Electronics</t>
        </is>
      </c>
      <c r="D17" s="20" t="inlineStr">
        <is>
          <t>e.g.  =AVERAGEIF('Data'!$E$5:$E$184,"Electronics",'Data'!$I$5:$I$184)</t>
        </is>
      </c>
      <c r="F17" s="16" t="n"/>
      <c r="G17" s="17">
        <f>IF(F17="","",IFERROR(IF(ABS(F17-121.77)&lt;0.01,"✓  Correct","✗  Try again"),"✗  Try again"))</f>
        <v/>
      </c>
    </row>
    <row r="18" ht="58" customHeight="1">
      <c r="B18" s="19" t="inlineStr">
        <is>
          <t>Average Revenue: Clothing sold Online</t>
        </is>
      </c>
      <c r="D18" s="20" t="inlineStr">
        <is>
          <t>e.g.  =AVERAGEIFS('Data'!$J$5:$J$184,'Data'!$E$5:$E$184,"Clothing",'Data'!$D$5:$D$184,"Online")</t>
        </is>
      </c>
      <c r="F18" s="16" t="n"/>
      <c r="G18" s="17">
        <f>IF(F18="","",IFERROR(IF(ABS(F18-371.33)&lt;0.01,"✓  Correct","✗  Try again"),"✗  Try again"))</f>
        <v/>
      </c>
    </row>
    <row r="19" ht="58" customHeight="1">
      <c r="B19" s="19" t="inlineStr">
        <is>
          <t>Average Quantity: Sports in the North</t>
        </is>
      </c>
      <c r="D19" s="20" t="inlineStr">
        <is>
          <t>e.g.  =AVERAGEIFS('Data'!$H$5:$H$184,'Data'!$E$5:$E$184,"Sports",'Data'!$C$5:$C$184,"North")</t>
        </is>
      </c>
      <c r="F19" s="16" t="n"/>
      <c r="G19" s="17">
        <f>IF(F19="","",IFERROR(IF(ABS(F19-7.0)&lt;0.01,"✓  Correct","✗  Try again"),"✗  Try again"))</f>
        <v/>
      </c>
    </row>
  </sheetData>
  <mergeCells count="8">
    <mergeCell ref="A9:H9"/>
    <mergeCell ref="A4:H4"/>
    <mergeCell ref="A12:H12"/>
    <mergeCell ref="A7:H7"/>
    <mergeCell ref="A10:H10"/>
    <mergeCell ref="A5:H5"/>
    <mergeCell ref="A8:H8"/>
    <mergeCell ref="A6:H6"/>
  </mergeCells>
  <pageMargins left="0.75" right="0.75" top="1" bottom="1" header="0.5" footer="0.5"/>
  <pageSetup fitToHeight="0" fitToWidth="1"/>
</worksheet>
</file>

<file path=xl/worksheets/sheet8.xml><?xml version="1.0" encoding="utf-8"?>
<worksheet xmlns="http://schemas.openxmlformats.org/spreadsheetml/2006/main">
  <sheetPr>
    <tabColor rgb="FF2E8B8B"/>
    <outlinePr summaryBelow="1" summaryRight="1"/>
    <pageSetUpPr fitToPage="1"/>
  </sheetPr>
  <dimension ref="A1:J35"/>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6" customWidth="1" min="10" max="10"/>
  </cols>
  <sheetData>
    <row r="1" ht="26" customHeight="1">
      <c r="A1" s="1" t="inlineStr">
        <is>
          <t>Understanding Spread</t>
        </is>
      </c>
      <c r="B1" s="2" t="n"/>
      <c r="C1" s="2" t="n"/>
      <c r="D1" s="2" t="n"/>
      <c r="E1" s="2" t="n"/>
      <c r="F1" s="2" t="n"/>
      <c r="G1" s="2" t="n"/>
      <c r="H1" s="2" t="n"/>
      <c r="I1" s="2" t="n"/>
      <c r="J1" s="2" t="n"/>
    </row>
    <row r="2">
      <c r="A2" s="3" t="inlineStr">
        <is>
          <t>What standard deviation really means — read this before Task 5</t>
        </is>
      </c>
      <c r="B2" s="4" t="n"/>
      <c r="C2" s="4" t="n"/>
      <c r="D2" s="4" t="n"/>
      <c r="E2" s="4" t="n"/>
      <c r="F2" s="4" t="n"/>
      <c r="G2" s="4" t="n"/>
      <c r="H2" s="4" t="n"/>
      <c r="I2" s="4" t="n"/>
      <c r="J2" s="4" t="n"/>
    </row>
    <row r="4" ht="16" customHeight="1">
      <c r="A4" s="35" t="inlineStr">
        <is>
          <t>START WITH A PROBLEM THE AVERAGE CAN'T SOLVE</t>
        </is>
      </c>
      <c r="B4" s="25" t="n"/>
      <c r="C4" s="25" t="n"/>
      <c r="D4" s="25" t="n"/>
      <c r="E4" s="25" t="n"/>
      <c r="F4" s="25" t="n"/>
      <c r="G4" s="25" t="n"/>
      <c r="H4" s="25" t="n"/>
      <c r="I4" s="25" t="n"/>
      <c r="J4" s="25" t="n"/>
    </row>
    <row r="5" ht="36" customHeight="1">
      <c r="A5" s="26" t="inlineStr">
        <is>
          <t>Two salespeople each sell 5 orders. Both AVERAGE 20 items per order. So they're equal… right? Look at the actual numbers:</t>
        </is>
      </c>
    </row>
    <row r="6">
      <c r="B6" s="36" t="inlineStr">
        <is>
          <t>Per-order sales</t>
        </is>
      </c>
    </row>
    <row r="7">
      <c r="B7" s="17" t="inlineStr">
        <is>
          <t>Ravi:</t>
        </is>
      </c>
      <c r="C7" s="37" t="n">
        <v>19</v>
      </c>
      <c r="D7" s="37" t="n">
        <v>20</v>
      </c>
      <c r="E7" s="37" t="n">
        <v>21</v>
      </c>
      <c r="F7" s="37" t="n">
        <v>20</v>
      </c>
      <c r="G7" s="37" t="n">
        <v>20</v>
      </c>
      <c r="I7" s="38" t="inlineStr">
        <is>
          <t>average = 20</t>
        </is>
      </c>
    </row>
    <row r="8">
      <c r="B8" s="17" t="inlineStr">
        <is>
          <t>Sam:</t>
        </is>
      </c>
      <c r="C8" s="37" t="n">
        <v>4</v>
      </c>
      <c r="D8" s="37" t="n">
        <v>38</v>
      </c>
      <c r="E8" s="37" t="n">
        <v>5</v>
      </c>
      <c r="F8" s="37" t="n">
        <v>33</v>
      </c>
      <c r="G8" s="37" t="n">
        <v>20</v>
      </c>
      <c r="I8" s="38" t="inlineStr">
        <is>
          <t>average = 20</t>
        </is>
      </c>
    </row>
    <row r="9" ht="66" customHeight="1">
      <c r="A9" s="26" t="inlineStr">
        <is>
          <t>Same average, completely different stories. Ravi is steady and predictable (always near 20). Sam is all over the place (4 one day, 38 the next). The average hides that completely — you need a number for how SPREAD OUT the values are. That number is the standard deviation.</t>
        </is>
      </c>
    </row>
    <row r="11" ht="16" customHeight="1">
      <c r="A11" s="35" t="inlineStr">
        <is>
          <t>THE IDEA: HOW FAR IS EACH VALUE FROM THE AVERAGE?</t>
        </is>
      </c>
      <c r="B11" s="25" t="n"/>
      <c r="C11" s="25" t="n"/>
      <c r="D11" s="25" t="n"/>
      <c r="E11" s="25" t="n"/>
      <c r="F11" s="25" t="n"/>
      <c r="G11" s="25" t="n"/>
      <c r="H11" s="25" t="n"/>
      <c r="I11" s="25" t="n"/>
      <c r="J11" s="25" t="n"/>
    </row>
    <row r="12" ht="51" customHeight="1">
      <c r="A12" s="26" t="inlineStr">
        <is>
          <t>Standard deviation is, roughly, the TYPICAL DISTANCE between a value and the average. Small standard deviation = values huddle close to the average (like Ravi). Large standard deviation = values are scattered far from it (like Sam).</t>
        </is>
      </c>
    </row>
    <row r="14" ht="16" customHeight="1">
      <c r="A14" s="39" t="inlineStr">
        <is>
          <t>SEE IT WORK — RAVI, STEP BY STEP</t>
        </is>
      </c>
      <c r="B14" s="28" t="n"/>
      <c r="C14" s="28" t="n"/>
      <c r="D14" s="28" t="n"/>
      <c r="E14" s="28" t="n"/>
      <c r="F14" s="28" t="n"/>
      <c r="G14" s="28" t="n"/>
      <c r="H14" s="28" t="n"/>
      <c r="I14" s="28" t="n"/>
      <c r="J14" s="28" t="n"/>
    </row>
    <row r="15" ht="20" customHeight="1">
      <c r="A15" s="40" t="inlineStr">
        <is>
          <t>1.  Find the average:  (19+20+21+20+20) ÷ 5  =  20</t>
        </is>
      </c>
    </row>
    <row r="16" ht="20" customHeight="1">
      <c r="A16" s="40" t="inlineStr">
        <is>
          <t>2.  Find each value's distance from 20:   -1,  0,  +1,  0,  0</t>
        </is>
      </c>
    </row>
    <row r="17" ht="20" customHeight="1">
      <c r="A17" s="40" t="inlineStr">
        <is>
          <t>3.  Square them (so negatives don't cancel):   1,  0,  1,  0,  0</t>
        </is>
      </c>
    </row>
    <row r="18" ht="20" customHeight="1">
      <c r="A18" s="40" t="inlineStr">
        <is>
          <t>4.  Average those, then square-root it:   √(2÷5)  =  0.63</t>
        </is>
      </c>
    </row>
    <row r="19" ht="34" customHeight="1">
      <c r="A19" s="29" t="inlineStr">
        <is>
          <t>Ravi's standard deviation ≈ 0.63 — tiny, because every order is within 1 of the average.</t>
        </is>
      </c>
    </row>
    <row r="20" ht="36" customHeight="1">
      <c r="A20" s="26" t="inlineStr">
        <is>
          <t>Do the same for Sam and you get ≈ 14.0 — over twenty times larger. The number now PROVES what your eyes saw: Sam is far less consistent.</t>
        </is>
      </c>
    </row>
    <row r="22" ht="16" customHeight="1">
      <c r="A22" s="39" t="inlineStr">
        <is>
          <t>YOU DON'T DO THIS BY HAND — EXCEL HAS A FUNCTION</t>
        </is>
      </c>
      <c r="B22" s="28" t="n"/>
      <c r="C22" s="28" t="n"/>
      <c r="D22" s="28" t="n"/>
      <c r="E22" s="28" t="n"/>
      <c r="F22" s="28" t="n"/>
      <c r="G22" s="28" t="n"/>
      <c r="H22" s="28" t="n"/>
      <c r="I22" s="28" t="n"/>
      <c r="J22" s="28" t="n"/>
    </row>
    <row r="23" ht="20" customHeight="1">
      <c r="A23" s="44" t="inlineStr">
        <is>
          <t>=STDEV.P(range)   does all four steps for you.</t>
        </is>
      </c>
    </row>
    <row r="24" ht="21" customHeight="1">
      <c r="A24" s="26" t="inlineStr">
        <is>
          <t>Two versions, and the only difference is a subtle one:</t>
        </is>
      </c>
    </row>
    <row r="25" ht="34" customHeight="1">
      <c r="A25" s="32" t="inlineStr">
        <is>
          <t xml:space="preserve">   •  STDEV.P  — use when your data is the WHOLE group you care about (every order you have).</t>
        </is>
      </c>
    </row>
    <row r="26" ht="34" customHeight="1">
      <c r="A26" s="32" t="inlineStr">
        <is>
          <t xml:space="preserve">   •  STDEV.S  — use when your data is a SAMPLE taken to estimate a bigger group you can't see.</t>
        </is>
      </c>
    </row>
    <row r="27" ht="20" customHeight="1">
      <c r="A27" s="29" t="inlineStr">
        <is>
          <t>If in doubt for these drills: the dataset is everything we have, so STDEV.P fits.</t>
        </is>
      </c>
    </row>
    <row r="29" ht="16" customHeight="1">
      <c r="A29" s="41" t="inlineStr">
        <is>
          <t>⚠  ONE LAST TWIST: COMPARING TWO DIFFERENT THINGS FAIRLY</t>
        </is>
      </c>
      <c r="B29" s="31" t="n"/>
      <c r="C29" s="31" t="n"/>
      <c r="D29" s="31" t="n"/>
      <c r="E29" s="31" t="n"/>
      <c r="F29" s="31" t="n"/>
      <c r="G29" s="31" t="n"/>
      <c r="H29" s="31" t="n"/>
      <c r="I29" s="31" t="n"/>
      <c r="J29" s="31" t="n"/>
    </row>
    <row r="30" ht="66" customHeight="1">
      <c r="A30" s="26" t="inlineStr">
        <is>
          <t>Here's the trap. Unit Price is in tens of pounds; Quantity is single digits. Unit Price will ALWAYS have a bigger standard deviation simply because its numbers are bigger — not because it's genuinely more variable. Comparing raw standard deviations across different scales is unfair.</t>
        </is>
      </c>
    </row>
    <row r="31" ht="51" customHeight="1">
      <c r="A31" s="26" t="inlineStr">
        <is>
          <t>The fix: divide the standard deviation by the average. That strips out the scale and gives a RELATIVE spread — a plain ratio you can compare fairly. Its proper name is the coefficient of variation (CV), but just think of it as 'spread for its size'.</t>
        </is>
      </c>
    </row>
    <row r="32" ht="21" customHeight="1">
      <c r="A32" s="42" t="inlineStr">
        <is>
          <t>CV  =  standard deviation  ÷  average</t>
        </is>
      </c>
    </row>
    <row r="33" ht="36" customHeight="1">
      <c r="A33" s="26" t="inlineStr">
        <is>
          <t>The column with the HIGHER ratio is genuinely the more variable one — whatever the units. That's exactly what Task 5 questions 3 and 4 ask you to work out.</t>
        </is>
      </c>
    </row>
    <row r="35" ht="22" customHeight="1">
      <c r="A35" s="43" t="inlineStr">
        <is>
          <t>→  Now go to Task 5 and put it into practice.</t>
        </is>
      </c>
    </row>
  </sheetData>
  <mergeCells count="19">
    <mergeCell ref="A9:H9"/>
    <mergeCell ref="A30:H30"/>
    <mergeCell ref="A15:H15"/>
    <mergeCell ref="A24:H24"/>
    <mergeCell ref="A25:H25"/>
    <mergeCell ref="A16:H16"/>
    <mergeCell ref="A27:H27"/>
    <mergeCell ref="A18:H18"/>
    <mergeCell ref="A12:H12"/>
    <mergeCell ref="A26:H26"/>
    <mergeCell ref="A33:H33"/>
    <mergeCell ref="A5:H5"/>
    <mergeCell ref="A23:H23"/>
    <mergeCell ref="A32:H32"/>
    <mergeCell ref="A17:H17"/>
    <mergeCell ref="A35:H35"/>
    <mergeCell ref="A20:H20"/>
    <mergeCell ref="A19:H19"/>
    <mergeCell ref="A31:H31"/>
  </mergeCells>
  <pageMargins left="0.75" right="0.75" top="1" bottom="1" header="0.5" footer="0.5"/>
  <pageSetup fitToHeight="0" fitToWidth="1"/>
</worksheet>
</file>

<file path=xl/worksheets/sheet9.xml><?xml version="1.0" encoding="utf-8"?>
<worksheet xmlns="http://schemas.openxmlformats.org/spreadsheetml/2006/main">
  <sheetPr>
    <tabColor rgb="FF7B4BA8"/>
    <outlinePr summaryBelow="1" summaryRight="1"/>
    <pageSetUpPr fitToPage="1"/>
  </sheetPr>
  <dimension ref="A1:H17"/>
  <sheetViews>
    <sheetView workbookViewId="0">
      <selection activeCell="A1" sqref="A1"/>
    </sheetView>
  </sheetViews>
  <sheetFormatPr baseColWidth="8" defaultRowHeight="15"/>
  <cols>
    <col width="2" customWidth="1" min="1" max="1"/>
    <col width="30" customWidth="1" min="2" max="2"/>
    <col width="2" customWidth="1" min="3" max="3"/>
    <col width="24" customWidth="1" min="4" max="4"/>
    <col width="2" customWidth="1" min="5" max="5"/>
    <col width="15" customWidth="1" min="6" max="6"/>
    <col width="13" customWidth="1" min="7" max="7"/>
    <col width="4" customWidth="1" min="8" max="8"/>
  </cols>
  <sheetData>
    <row r="1" ht="26" customHeight="1">
      <c r="A1" s="1" t="inlineStr">
        <is>
          <t>Task 5 — Standard Deviation</t>
        </is>
      </c>
      <c r="B1" s="2" t="n"/>
      <c r="C1" s="2" t="n"/>
      <c r="D1" s="2" t="n"/>
      <c r="E1" s="2" t="n"/>
      <c r="F1" s="2" t="n"/>
      <c r="G1" s="2" t="n"/>
      <c r="H1" s="2" t="n"/>
    </row>
    <row r="2">
      <c r="A2" s="3" t="inlineStr">
        <is>
          <t>How spread out is the data?</t>
        </is>
      </c>
      <c r="B2" s="4" t="n"/>
      <c r="C2" s="4" t="n"/>
      <c r="D2" s="4" t="n"/>
      <c r="E2" s="4" t="n"/>
      <c r="F2" s="4" t="n"/>
      <c r="G2" s="4" t="n"/>
      <c r="H2" s="4" t="n"/>
    </row>
    <row r="4" ht="19.5" customHeight="1">
      <c r="A4" s="24" t="inlineStr">
        <is>
          <t>WHAT IT DOES</t>
        </is>
      </c>
    </row>
    <row r="5" ht="51" customHeight="1">
      <c r="A5" s="26" t="inlineStr">
        <is>
          <t>Standard deviation measures how far values typically sit from the average — a small number means they're bunched together, a large one means they're spread out. STDEV.P is for a whole population; STDEV.S for a sample drawn from something bigger.</t>
        </is>
      </c>
    </row>
    <row r="6" ht="19.5" customHeight="1">
      <c r="A6" s="24" t="inlineStr">
        <is>
          <t>WORKED EXAMPLE</t>
        </is>
      </c>
    </row>
    <row r="7" ht="20" customHeight="1">
      <c r="A7" s="34" t="inlineStr">
        <is>
          <t>=STDEV.P('Data'!I5:I184)   →   47.77</t>
        </is>
      </c>
    </row>
    <row r="8" ht="34" customHeight="1">
      <c r="A8" s="29" t="inlineStr">
        <is>
          <t>The Unit Prices vary by about £48 either side of their average. To compare variability between two columns, divide each STDEV by its own average.</t>
        </is>
      </c>
    </row>
    <row r="9" ht="19.5" customHeight="1">
      <c r="A9" s="30" t="inlineStr">
        <is>
          <t>⚠  COMMON MISTAKE</t>
        </is>
      </c>
    </row>
    <row r="10" ht="34" customHeight="1">
      <c r="A10" s="32" t="inlineStr">
        <is>
          <t>Choosing the wrong one (P vs S) gives a slightly different answer. And a bigger standard deviation doesn't always mean 'more variable' — compare STDEV ÷ mean to judge fairly.</t>
        </is>
      </c>
    </row>
    <row r="12" ht="21" customHeight="1">
      <c r="A12" s="33" t="inlineStr">
        <is>
          <t>Now you try — type your formula in the amber cell:</t>
        </is>
      </c>
    </row>
    <row r="13" ht="21" customHeight="1">
      <c r="B13" s="18" t="inlineStr">
        <is>
          <t>What to calculate</t>
        </is>
      </c>
      <c r="D13" s="18" t="inlineStr">
        <is>
          <t>Type this kind of formula</t>
        </is>
      </c>
      <c r="F13" s="18" t="inlineStr">
        <is>
          <t>Your result</t>
        </is>
      </c>
      <c r="G13" s="18" t="inlineStr">
        <is>
          <t>Check</t>
        </is>
      </c>
    </row>
    <row r="14" ht="36" customHeight="1">
      <c r="B14" s="19" t="inlineStr">
        <is>
          <t>Standard deviation of Unit Price (population — STDEV.P)</t>
        </is>
      </c>
      <c r="D14" s="20" t="inlineStr">
        <is>
          <t>e.g.  =STDEV.P('Data'!$I$5:$I$184)</t>
        </is>
      </c>
      <c r="F14" s="16" t="n"/>
      <c r="G14" s="17">
        <f>IF(F14="","",IFERROR(IF(ABS(F14-47.77)&lt;0.01,"✓  Correct","✗  Try again"),"✗  Try again"))</f>
        <v/>
      </c>
    </row>
    <row r="15" ht="36" customHeight="1">
      <c r="B15" s="19" t="inlineStr">
        <is>
          <t>Sample standard deviation of Revenue (STDEV.S)</t>
        </is>
      </c>
      <c r="D15" s="20" t="inlineStr">
        <is>
          <t>e.g.  =STDEV.S('Data'!$J$5:$J$184)</t>
        </is>
      </c>
      <c r="F15" s="16" t="n"/>
      <c r="G15" s="17">
        <f>IF(F15="","",IFERROR(IF(ABS(F15-420.04)&lt;0.01,"✓  Correct","✗  Try again"),"✗  Try again"))</f>
        <v/>
      </c>
    </row>
    <row r="16" ht="45" customHeight="1">
      <c r="B16" s="19" t="inlineStr">
        <is>
          <t>Variability of Quantity:  =STDEV.P(Qty)/AVERAGE(Qty)</t>
        </is>
      </c>
      <c r="D16" s="20" t="inlineStr">
        <is>
          <t>e.g.  =STDEV.P('Data'!$H$5:$H$184)/AVERAGE('Data'!$H$5:$H$184)</t>
        </is>
      </c>
      <c r="F16" s="16" t="n"/>
      <c r="G16" s="17">
        <f>IF(F16="","",IFERROR(IF(ABS(F16-0.515)&lt;0.01,"✓  Correct","✗  Try again"),"✗  Try again"))</f>
        <v/>
      </c>
    </row>
    <row r="17" ht="45" customHeight="1">
      <c r="B17" s="19" t="inlineStr">
        <is>
          <t>Variability of Unit Price (is it bigger than Quantity's?)</t>
        </is>
      </c>
      <c r="D17" s="20" t="inlineStr">
        <is>
          <t>e.g.  =STDEV.P('Data'!$I$5:$I$184)/AVERAGE('Data'!$I$5:$I$184)</t>
        </is>
      </c>
      <c r="F17" s="16" t="n"/>
      <c r="G17" s="17">
        <f>IF(F17="","",IFERROR(IF(ABS(F17-0.766)&lt;0.01,"✓  Correct","✗  Try again"),"✗  Try again"))</f>
        <v/>
      </c>
    </row>
  </sheetData>
  <mergeCells count="8">
    <mergeCell ref="A9:H9"/>
    <mergeCell ref="A4:H4"/>
    <mergeCell ref="A12:H12"/>
    <mergeCell ref="A7:H7"/>
    <mergeCell ref="A10:H10"/>
    <mergeCell ref="A5:H5"/>
    <mergeCell ref="A8:H8"/>
    <mergeCell ref="A6:H6"/>
  </mergeCells>
  <pageMargins left="0.75" right="0.75" top="1" bottom="1" header="0.5" footer="0.5"/>
  <pageSetup fitToHeight="0" fitToWidth="1"/>
</worksheet>
</file>

<file path=xl/worksheets/sheet10.xml><?xml version="1.0" encoding="utf-8"?>
<worksheet xmlns="http://schemas.openxmlformats.org/spreadsheetml/2006/main">
  <sheetPr>
    <tabColor rgb="FF548235"/>
    <outlinePr summaryBelow="1" summaryRight="1"/>
    <pageSetUpPr fitToPage="1"/>
  </sheetPr>
  <dimension ref="A1:H13"/>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26" customHeight="1">
      <c r="A1" s="1" t="inlineStr">
        <is>
          <t>Support — your glossary</t>
        </is>
      </c>
      <c r="B1" s="2" t="n"/>
      <c r="C1" s="2" t="n"/>
      <c r="D1" s="2" t="n"/>
      <c r="E1" s="2" t="n"/>
      <c r="F1" s="2" t="n"/>
      <c r="G1" s="2" t="n"/>
      <c r="H1" s="2" t="n"/>
    </row>
    <row r="2">
      <c r="A2" s="3" t="inlineStr">
        <is>
          <t>Type = first, then the function</t>
        </is>
      </c>
      <c r="B2" s="4" t="n"/>
      <c r="C2" s="4" t="n"/>
      <c r="D2" s="4" t="n"/>
      <c r="E2" s="4" t="n"/>
      <c r="F2" s="4" t="n"/>
      <c r="G2" s="4" t="n"/>
      <c r="H2" s="4" t="n"/>
    </row>
    <row r="4" ht="28" customHeight="1">
      <c r="A4" s="7" t="inlineStr">
        <is>
          <t>COUNT</t>
        </is>
      </c>
      <c r="B4" s="9" t="inlineStr">
        <is>
          <t>COUNT(range). Counts NUMERIC cells only. Point at a number column.</t>
        </is>
      </c>
    </row>
    <row r="5" ht="34" customHeight="1">
      <c r="A5" s="7" t="inlineStr">
        <is>
          <t>COUNTIF</t>
        </is>
      </c>
      <c r="B5" s="9" t="inlineStr">
        <is>
          <t>COUNTIF(range, condition). One test. Text in quotes: "North". Numbers: "&gt;=10".</t>
        </is>
      </c>
    </row>
    <row r="6" ht="28" customHeight="1">
      <c r="A6" s="7" t="inlineStr">
        <is>
          <t>COUNTIFS</t>
        </is>
      </c>
      <c r="B6" s="9" t="inlineStr">
        <is>
          <t>COUNTIFS(range1, cond1, range2, cond2, …). Every test must be true.</t>
        </is>
      </c>
    </row>
    <row r="7" ht="28" customHeight="1">
      <c r="A7" s="7" t="inlineStr">
        <is>
          <t>SUM</t>
        </is>
      </c>
      <c r="B7" s="9" t="inlineStr">
        <is>
          <t>SUM(range). Totals a column of numbers.</t>
        </is>
      </c>
    </row>
    <row r="8" ht="28" customHeight="1">
      <c r="A8" s="7" t="inlineStr">
        <is>
          <t>SUMIF</t>
        </is>
      </c>
      <c r="B8" s="9" t="inlineStr">
        <is>
          <t>SUMIF(test_range, condition, sum_range). Sum range LAST.</t>
        </is>
      </c>
    </row>
    <row r="9" ht="34" customHeight="1">
      <c r="A9" s="7" t="inlineStr">
        <is>
          <t>SUMIFS</t>
        </is>
      </c>
      <c r="B9" s="9" t="inlineStr">
        <is>
          <t>SUMIFS(sum_range, range1, cond1, …). Sum range FIRST — the opposite order to SUMIF.</t>
        </is>
      </c>
    </row>
    <row r="10" ht="28" customHeight="1">
      <c r="A10" s="7" t="inlineStr">
        <is>
          <t>AVERAGE</t>
        </is>
      </c>
      <c r="B10" s="9" t="inlineStr">
        <is>
          <t>AVERAGE(range). Mean of the numbers; ignores blanks and text.</t>
        </is>
      </c>
    </row>
    <row r="11" ht="28" customHeight="1">
      <c r="A11" s="7" t="inlineStr">
        <is>
          <t>AVERAGEIF / AVERAGEIFS</t>
        </is>
      </c>
      <c r="B11" s="9" t="inlineStr">
        <is>
          <t>Same shapes as SUMIF / SUMIFS but they average instead of total.</t>
        </is>
      </c>
    </row>
    <row r="12" ht="28" customHeight="1">
      <c r="A12" s="7" t="inlineStr">
        <is>
          <t>STDEV.P vs STDEV.S</t>
        </is>
      </c>
      <c r="B12" s="9" t="inlineStr">
        <is>
          <t>P = whole population; S = a sample of a bigger group.</t>
        </is>
      </c>
    </row>
    <row r="13" ht="28" customHeight="1">
      <c r="A13" s="7" t="inlineStr">
        <is>
          <t>Conditions</t>
        </is>
      </c>
      <c r="B13" s="9" t="inlineStr">
        <is>
          <t>Text in quotes: "Card". Number comparisons in quotes too: "&gt;100", "&lt;=50".</t>
        </is>
      </c>
    </row>
  </sheetData>
  <mergeCells count="10">
    <mergeCell ref="B8:H8"/>
    <mergeCell ref="B9:H9"/>
    <mergeCell ref="B13:H13"/>
    <mergeCell ref="B4:H4"/>
    <mergeCell ref="B12:H12"/>
    <mergeCell ref="B6:H6"/>
    <mergeCell ref="B7:H7"/>
    <mergeCell ref="B10:H10"/>
    <mergeCell ref="B11:H11"/>
    <mergeCell ref="B5:H5"/>
  </mergeCells>
  <pageMargins left="0.75" right="0.75" top="1" bottom="1" header="0.5" footer="0.5"/>
  <pageSetup fitToHeight="0" fitToWidth="1"/>
</worksheet>
</file>

<file path=xl/worksheets/sheet11.xml><?xml version="1.0" encoding="utf-8"?>
<worksheet xmlns="http://schemas.openxmlformats.org/spreadsheetml/2006/main">
  <sheetPr>
    <tabColor rgb="FF3F1D5E"/>
    <outlinePr summaryBelow="1" summaryRight="1"/>
    <pageSetUpPr fitToPage="1"/>
  </sheetPr>
  <dimension ref="A1:H10"/>
  <sheetViews>
    <sheetView workbookViewId="0">
      <selection activeCell="A1" sqref="A1"/>
    </sheetView>
  </sheetViews>
  <sheetFormatPr baseColWidth="8" defaultRowHeight="15"/>
  <cols>
    <col width="2" customWidth="1" min="1" max="1"/>
    <col width="30" customWidth="1" min="2" max="2"/>
    <col width="2" customWidth="1" min="3" max="3"/>
    <col width="24" customWidth="1" min="4" max="4"/>
    <col width="2" customWidth="1" min="5" max="5"/>
    <col width="15" customWidth="1" min="6" max="6"/>
    <col width="13" customWidth="1" min="7" max="7"/>
    <col width="4" customWidth="1" min="8" max="8"/>
  </cols>
  <sheetData>
    <row r="1" ht="26" customHeight="1">
      <c r="A1" s="1" t="inlineStr">
        <is>
          <t>Stretch — go further</t>
        </is>
      </c>
      <c r="B1" s="2" t="n"/>
      <c r="C1" s="2" t="n"/>
      <c r="D1" s="2" t="n"/>
      <c r="E1" s="2" t="n"/>
      <c r="F1" s="2" t="n"/>
      <c r="G1" s="2" t="n"/>
      <c r="H1" s="2" t="n"/>
    </row>
    <row r="2">
      <c r="A2" s="3" t="inlineStr">
        <is>
          <t>Number conditions and multi-test totals</t>
        </is>
      </c>
      <c r="B2" s="4" t="n"/>
      <c r="C2" s="4" t="n"/>
      <c r="D2" s="4" t="n"/>
      <c r="E2" s="4" t="n"/>
      <c r="F2" s="4" t="n"/>
      <c r="G2" s="4" t="n"/>
      <c r="H2" s="4" t="n"/>
    </row>
    <row r="4" ht="36" customHeight="1">
      <c r="A4" s="5" t="inlineStr">
        <is>
          <t>Harder conditions: comparisons on numbers, and three tests at once. Same self-checking amber cells.</t>
        </is>
      </c>
    </row>
    <row r="6" ht="21" customHeight="1">
      <c r="B6" s="18" t="inlineStr">
        <is>
          <t>What to calculate</t>
        </is>
      </c>
      <c r="D6" s="18" t="inlineStr">
        <is>
          <t>Type this kind of formula</t>
        </is>
      </c>
      <c r="F6" s="18" t="inlineStr">
        <is>
          <t>Your result</t>
        </is>
      </c>
      <c r="G6" s="18" t="inlineStr">
        <is>
          <t>Check</t>
        </is>
      </c>
    </row>
    <row r="7" ht="36" customHeight="1">
      <c r="B7" s="19" t="inlineStr">
        <is>
          <t>How many orders had Revenue over £1000?</t>
        </is>
      </c>
      <c r="D7" s="20" t="inlineStr">
        <is>
          <t>e.g.  =COUNTIF('Data'!$J$5:$J$184,"&gt;1000")</t>
        </is>
      </c>
      <c r="F7" s="16" t="n"/>
      <c r="G7" s="17">
        <f>IF(F7="","",IFERROR(IF(ABS(F7-18)&lt;0.01,"✓  Correct","✗  Try again"),"✗  Try again"))</f>
        <v/>
      </c>
    </row>
    <row r="8" ht="45" customHeight="1">
      <c r="B8" s="19" t="inlineStr">
        <is>
          <t>Total Revenue from orders with Quantity over 10</t>
        </is>
      </c>
      <c r="D8" s="20" t="inlineStr">
        <is>
          <t>e.g.  =SUMIF('Data'!$H$5:$H$184,"&gt;10",'Data'!$J$5:$J$184)</t>
        </is>
      </c>
      <c r="F8" s="16" t="n"/>
      <c r="G8" s="17">
        <f>IF(F8="","",IFERROR(IF(ABS(F8-23510.91)&lt;0.01,"✓  Correct","✗  Try again"),"✗  Try again"))</f>
        <v/>
      </c>
    </row>
    <row r="9" ht="58" customHeight="1">
      <c r="B9" s="19" t="inlineStr">
        <is>
          <t>Average Revenue of In-Store orders in the West</t>
        </is>
      </c>
      <c r="D9" s="20" t="inlineStr">
        <is>
          <t>e.g.  =AVERAGEIFS('Data'!$J$5:$J$184,'Data'!$D$5:$D$184,"In-Store",'Data'!$C$5:$C$184,"West")</t>
        </is>
      </c>
      <c r="F9" s="16" t="n"/>
      <c r="G9" s="17">
        <f>IF(F9="","",IFERROR(IF(ABS(F9-452.0)&lt;0.01,"✓  Correct","✗  Try again"),"✗  Try again"))</f>
        <v/>
      </c>
    </row>
    <row r="10" ht="71" customHeight="1">
      <c r="B10" s="19" t="inlineStr">
        <is>
          <t>Total Revenue: Electronics, Online, Qty 5 or more</t>
        </is>
      </c>
      <c r="D10" s="20" t="inlineStr">
        <is>
          <t>e.g.  =SUMIFS('Data'!$J$5:$J$184,'Data'!$E$5:$E$184,"Electronics",'Data'!$D$5:$D$184,"Online",'Data'!$H$5:$H$184,"&gt;=5")</t>
        </is>
      </c>
      <c r="F10" s="16" t="n"/>
      <c r="G10" s="17">
        <f>IF(F10="","",IFERROR(IF(ABS(F10-12864.47)&lt;0.01,"✓  Correct","✗  Try again"),"✗  Try again"))</f>
        <v/>
      </c>
    </row>
  </sheetData>
  <mergeCells count="1">
    <mergeCell ref="A4:H4"/>
  </mergeCells>
  <pageMargins left="0.75" right="0.75" top="1" bottom="1" header="0.5" footer="0.5"/>
  <pageSetup fitToHeight="0" fitToWidth="1"/>
</worksheet>
</file>

<file path=xl/worksheets/sheet12.xml><?xml version="1.0" encoding="utf-8"?>
<worksheet xmlns="http://schemas.openxmlformats.org/spreadsheetml/2006/main">
  <sheetPr>
    <tabColor rgb="FFBF8F00"/>
    <outlinePr summaryBelow="1" summaryRight="1"/>
    <pageSetUpPr fitToPage="1"/>
  </sheetPr>
  <dimension ref="A1:H15"/>
  <sheetViews>
    <sheetView workbookViewId="0">
      <selection activeCell="A1" sqref="A1"/>
    </sheetView>
  </sheetViews>
  <sheetFormatPr baseColWidth="8" defaultRowHeight="15"/>
  <cols>
    <col width="3" customWidth="1" min="1" max="1"/>
    <col width="6" customWidth="1" min="2" max="2"/>
    <col width="15" customWidth="1" min="3" max="3"/>
    <col width="15" customWidth="1" min="4" max="4"/>
    <col width="15" customWidth="1" min="5" max="5"/>
    <col width="15" customWidth="1" min="6" max="6"/>
    <col width="5" customWidth="1" min="7" max="7"/>
    <col width="13" customWidth="1" min="8" max="8"/>
  </cols>
  <sheetData>
    <row r="1" ht="26" customHeight="1">
      <c r="A1" s="1" t="inlineStr">
        <is>
          <t>Confidence check</t>
        </is>
      </c>
      <c r="B1" s="2" t="n"/>
      <c r="C1" s="2" t="n"/>
      <c r="D1" s="2" t="n"/>
      <c r="E1" s="2" t="n"/>
      <c r="F1" s="2" t="n"/>
      <c r="G1" s="2" t="n"/>
      <c r="H1" s="2" t="n"/>
    </row>
    <row r="2">
      <c r="A2" s="3" t="inlineStr">
        <is>
          <t>Tick each box you can honestly do</t>
        </is>
      </c>
      <c r="B2" s="4" t="n"/>
      <c r="C2" s="4" t="n"/>
      <c r="D2" s="4" t="n"/>
      <c r="E2" s="4" t="n"/>
      <c r="F2" s="4" t="n"/>
      <c r="G2" s="4" t="n"/>
      <c r="H2" s="4" t="n"/>
    </row>
    <row r="4" ht="36" customHeight="1">
      <c r="A4" s="5" t="inlineStr">
        <is>
          <t>Type x in each amber box you can tick. When they're all ticked, you've got the toolkit and you're ready to use it on real, messy data.</t>
        </is>
      </c>
    </row>
    <row r="6">
      <c r="B6" s="12" t="inlineStr">
        <is>
          <t>Tick</t>
        </is>
      </c>
      <c r="C6" s="12" t="inlineStr">
        <is>
          <t>I can…</t>
        </is>
      </c>
      <c r="G6" s="12" t="inlineStr">
        <is>
          <t>✓</t>
        </is>
      </c>
    </row>
    <row r="7" ht="21" customHeight="1">
      <c r="B7" s="16" t="n"/>
      <c r="C7" s="21" t="inlineStr">
        <is>
          <t>COUNT the rows or values in a column</t>
        </is>
      </c>
      <c r="G7" s="22">
        <f>IF(LOWER(B7)="x","✓","")</f>
        <v/>
      </c>
    </row>
    <row r="8" ht="21" customHeight="1">
      <c r="B8" s="16" t="n"/>
      <c r="C8" s="21" t="inlineStr">
        <is>
          <t>use COUNTIF and COUNTIFS to count rows that meet conditions</t>
        </is>
      </c>
      <c r="G8" s="22">
        <f>IF(LOWER(B8)="x","✓","")</f>
        <v/>
      </c>
    </row>
    <row r="9" ht="21" customHeight="1">
      <c r="B9" s="16" t="n"/>
      <c r="C9" s="21" t="inlineStr">
        <is>
          <t>SUM a column, and use SUMIF / SUMIFS for conditional totals</t>
        </is>
      </c>
      <c r="G9" s="22">
        <f>IF(LOWER(B9)="x","✓","")</f>
        <v/>
      </c>
    </row>
    <row r="10" ht="21" customHeight="1">
      <c r="B10" s="16" t="n"/>
      <c r="C10" s="21" t="inlineStr">
        <is>
          <t>AVERAGE a column, and use AVERAGEIF / AVERAGEIFS</t>
        </is>
      </c>
      <c r="G10" s="22">
        <f>IF(LOWER(B10)="x","✓","")</f>
        <v/>
      </c>
    </row>
    <row r="11" ht="21" customHeight="1">
      <c r="B11" s="16" t="n"/>
      <c r="C11" s="21" t="inlineStr">
        <is>
          <t>remember SUMIF puts the sum range LAST but SUMIFS puts it FIRST</t>
        </is>
      </c>
      <c r="G11" s="22">
        <f>IF(LOWER(B11)="x","✓","")</f>
        <v/>
      </c>
    </row>
    <row r="12" ht="21" customHeight="1">
      <c r="B12" s="16" t="n"/>
      <c r="C12" s="21" t="inlineStr">
        <is>
          <t>choose STDEV.P vs STDEV.S and read spread</t>
        </is>
      </c>
      <c r="G12" s="22">
        <f>IF(LOWER(B12)="x","✓","")</f>
        <v/>
      </c>
    </row>
    <row r="13" ht="21" customHeight="1">
      <c r="B13" s="16" t="n"/>
      <c r="C13" s="21" t="inlineStr">
        <is>
          <t>put a number condition in quotes, like "&gt;100"</t>
        </is>
      </c>
      <c r="G13" s="22">
        <f>IF(LOWER(B13)="x","✓","")</f>
        <v/>
      </c>
    </row>
    <row r="15" ht="38" customHeight="1">
      <c r="C15" s="23">
        <f>IF(COUNTIF(B7:B13,"x")=7,"All ticked — you're ready. Take this onto a real scenario.","Keep going — "&amp;(7-COUNTIF(B7:B13,"x"))&amp;" to go.")</f>
        <v/>
      </c>
    </row>
  </sheetData>
  <mergeCells count="9">
    <mergeCell ref="C13:F13"/>
    <mergeCell ref="A4:H4"/>
    <mergeCell ref="C9:F9"/>
    <mergeCell ref="C8:F8"/>
    <mergeCell ref="C12:F12"/>
    <mergeCell ref="C7:F7"/>
    <mergeCell ref="C11:F11"/>
    <mergeCell ref="C10:F10"/>
    <mergeCell ref="C15:H15"/>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2026-06-23T16:01:56Z</dcterms:created>
  <dcterms:modified xmlns:dcterms="http://purl.org/dc/terms/" xmlns:xsi="http://www.w3.org/2001/XMLSchema-instance" xsi:type="dcterms:W3CDTF">2026-06-23T16:38:34Z</dcterms:modified>
</cp:coreProperties>
</file>